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PDL-16\Downloads\"/>
    </mc:Choice>
  </mc:AlternateContent>
  <xr:revisionPtr revIDLastSave="0" documentId="8_{7453A0BE-7CBB-418B-A5EA-82E0E47508DD}" xr6:coauthVersionLast="47" xr6:coauthVersionMax="47" xr10:uidLastSave="{00000000-0000-0000-0000-000000000000}"/>
  <bookViews>
    <workbookView xWindow="-28920" yWindow="690" windowWidth="29040" windowHeight="15720" activeTab="1" xr2:uid="{CD39817E-FCCD-4D7C-9A2B-1638BF700DB1}"/>
  </bookViews>
  <sheets>
    <sheet name="RESUMO" sheetId="5" r:id="rId1"/>
    <sheet name="INIST" sheetId="4" r:id="rId2"/>
  </sheets>
  <definedNames>
    <definedName name="_xlnm._FilterDatabase" localSheetId="1" hidden="1">INIST!$A$1:$U$748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  <c r="J541" i="4" a="1"/>
  <c r="J541" i="4" s="1"/>
  <c r="R541" i="4" s="1"/>
  <c r="S541" i="4" s="1"/>
  <c r="L541" i="4" s="1"/>
  <c r="J533" i="4" a="1"/>
  <c r="J533" i="4" s="1"/>
  <c r="R533" i="4" s="1"/>
  <c r="S533" i="4" s="1"/>
  <c r="L533" i="4" s="1"/>
  <c r="J529" i="4" a="1"/>
  <c r="J529" i="4" s="1"/>
  <c r="R529" i="4" s="1"/>
  <c r="S529" i="4" s="1"/>
  <c r="L529" i="4" s="1"/>
  <c r="J518" i="4" a="1"/>
  <c r="J518" i="4" s="1"/>
  <c r="R518" i="4" s="1"/>
  <c r="S518" i="4" s="1"/>
  <c r="L518" i="4" s="1"/>
  <c r="J512" i="4" a="1"/>
  <c r="J512" i="4" s="1"/>
  <c r="R512" i="4" s="1"/>
  <c r="S512" i="4" s="1"/>
  <c r="L512" i="4" s="1"/>
  <c r="O506" i="4" a="1"/>
  <c r="O506" i="4" s="1"/>
  <c r="T506" i="4" s="1"/>
  <c r="U506" i="4" s="1"/>
  <c r="Q506" i="4" s="1"/>
  <c r="J506" i="4" a="1"/>
  <c r="J506" i="4" s="1"/>
  <c r="R506" i="4" s="1"/>
  <c r="S506" i="4" s="1"/>
  <c r="L506" i="4" s="1"/>
  <c r="J502" i="4" a="1"/>
  <c r="J502" i="4" s="1"/>
  <c r="R502" i="4" s="1"/>
  <c r="S502" i="4" s="1"/>
  <c r="L502" i="4" s="1"/>
  <c r="O499" i="4" a="1"/>
  <c r="O499" i="4" s="1"/>
  <c r="T499" i="4" s="1"/>
  <c r="U499" i="4" s="1"/>
  <c r="Q499" i="4" s="1"/>
  <c r="J499" i="4" a="1"/>
  <c r="J499" i="4" s="1"/>
  <c r="R499" i="4" s="1"/>
  <c r="S499" i="4" s="1"/>
  <c r="L499" i="4" s="1"/>
  <c r="O495" i="4" a="1"/>
  <c r="O495" i="4" s="1"/>
  <c r="T495" i="4" s="1"/>
  <c r="U495" i="4" s="1"/>
  <c r="Q495" i="4" s="1"/>
  <c r="J495" i="4" a="1"/>
  <c r="J495" i="4" s="1"/>
  <c r="R495" i="4" s="1"/>
  <c r="S495" i="4" s="1"/>
  <c r="L495" i="4" s="1"/>
  <c r="O493" i="4" a="1"/>
  <c r="O493" i="4" s="1"/>
  <c r="T493" i="4" s="1"/>
  <c r="U493" i="4" s="1"/>
  <c r="Q493" i="4" s="1"/>
  <c r="J493" i="4" a="1"/>
  <c r="J493" i="4" s="1"/>
  <c r="R493" i="4" s="1"/>
  <c r="S493" i="4" s="1"/>
  <c r="L493" i="4" s="1"/>
  <c r="J491" i="4" a="1"/>
  <c r="J491" i="4" s="1"/>
  <c r="R491" i="4" s="1"/>
  <c r="S491" i="4" s="1"/>
  <c r="L491" i="4" s="1"/>
  <c r="J488" i="4" a="1"/>
  <c r="J488" i="4" s="1"/>
  <c r="R488" i="4" s="1"/>
  <c r="S488" i="4" s="1"/>
  <c r="L488" i="4" s="1"/>
  <c r="O710" i="4" a="1"/>
  <c r="O710" i="4" s="1"/>
  <c r="T710" i="4" s="1"/>
  <c r="U710" i="4" s="1"/>
  <c r="Q710" i="4" s="1"/>
  <c r="J710" i="4" a="1"/>
  <c r="J710" i="4" s="1"/>
  <c r="R710" i="4" s="1"/>
  <c r="S710" i="4" s="1"/>
  <c r="L710" i="4" s="1"/>
  <c r="O709" i="4" a="1"/>
  <c r="O709" i="4" s="1"/>
  <c r="T709" i="4" s="1"/>
  <c r="U709" i="4" s="1"/>
  <c r="Q709" i="4" s="1"/>
  <c r="J709" i="4"/>
  <c r="R709" i="4" s="1"/>
  <c r="S709" i="4" s="1"/>
  <c r="L709" i="4" s="1"/>
  <c r="J709" i="4" a="1"/>
  <c r="O708" i="4" a="1"/>
  <c r="O708" i="4" s="1"/>
  <c r="T708" i="4" s="1"/>
  <c r="U708" i="4" s="1"/>
  <c r="Q708" i="4" s="1"/>
  <c r="J708" i="4" a="1"/>
  <c r="J708" i="4" s="1"/>
  <c r="R708" i="4" s="1"/>
  <c r="S708" i="4" s="1"/>
  <c r="L708" i="4" s="1"/>
  <c r="R707" i="4"/>
  <c r="S707" i="4" s="1"/>
  <c r="L707" i="4" s="1"/>
  <c r="O707" i="4" a="1"/>
  <c r="O707" i="4" s="1"/>
  <c r="T707" i="4" s="1"/>
  <c r="U707" i="4" s="1"/>
  <c r="Q707" i="4" s="1"/>
  <c r="J707" i="4"/>
  <c r="J707" i="4" a="1"/>
  <c r="O706" i="4" a="1"/>
  <c r="O706" i="4" s="1"/>
  <c r="T706" i="4" s="1"/>
  <c r="U706" i="4" s="1"/>
  <c r="Q706" i="4" s="1"/>
  <c r="J706" i="4" a="1"/>
  <c r="J706" i="4" s="1"/>
  <c r="R706" i="4" s="1"/>
  <c r="S706" i="4" s="1"/>
  <c r="L706" i="4" s="1"/>
  <c r="O705" i="4"/>
  <c r="T705" i="4" s="1"/>
  <c r="U705" i="4" s="1"/>
  <c r="Q705" i="4" s="1"/>
  <c r="O705" i="4" a="1"/>
  <c r="J705" i="4" a="1"/>
  <c r="J705" i="4" s="1"/>
  <c r="R705" i="4" s="1"/>
  <c r="S705" i="4" s="1"/>
  <c r="L705" i="4" s="1"/>
  <c r="O704" i="4" a="1"/>
  <c r="O704" i="4" s="1"/>
  <c r="T704" i="4" s="1"/>
  <c r="U704" i="4" s="1"/>
  <c r="Q704" i="4" s="1"/>
  <c r="J704" i="4" a="1"/>
  <c r="J704" i="4" s="1"/>
  <c r="R704" i="4" s="1"/>
  <c r="S704" i="4" s="1"/>
  <c r="L704" i="4" s="1"/>
  <c r="O703" i="4" a="1"/>
  <c r="O703" i="4" s="1"/>
  <c r="T703" i="4" s="1"/>
  <c r="U703" i="4" s="1"/>
  <c r="Q703" i="4" s="1"/>
  <c r="J703" i="4" a="1"/>
  <c r="J703" i="4" s="1"/>
  <c r="R703" i="4" s="1"/>
  <c r="S703" i="4" s="1"/>
  <c r="L703" i="4" s="1"/>
  <c r="O702" i="4" a="1"/>
  <c r="O702" i="4" s="1"/>
  <c r="T702" i="4" s="1"/>
  <c r="U702" i="4" s="1"/>
  <c r="Q702" i="4" s="1"/>
  <c r="J702" i="4" a="1"/>
  <c r="J702" i="4" s="1"/>
  <c r="R702" i="4" s="1"/>
  <c r="S702" i="4" s="1"/>
  <c r="L702" i="4" s="1"/>
  <c r="O701" i="4"/>
  <c r="T701" i="4" s="1"/>
  <c r="U701" i="4" s="1"/>
  <c r="Q701" i="4" s="1"/>
  <c r="O701" i="4" a="1"/>
  <c r="J701" i="4" a="1"/>
  <c r="J701" i="4" s="1"/>
  <c r="R701" i="4" s="1"/>
  <c r="S701" i="4" s="1"/>
  <c r="L701" i="4" s="1"/>
  <c r="O700" i="4" a="1"/>
  <c r="O700" i="4" s="1"/>
  <c r="T700" i="4" s="1"/>
  <c r="U700" i="4" s="1"/>
  <c r="Q700" i="4" s="1"/>
  <c r="J700" i="4" a="1"/>
  <c r="J700" i="4" s="1"/>
  <c r="R700" i="4" s="1"/>
  <c r="S700" i="4" s="1"/>
  <c r="L700" i="4" s="1"/>
  <c r="O699" i="4"/>
  <c r="T699" i="4" s="1"/>
  <c r="U699" i="4" s="1"/>
  <c r="Q699" i="4" s="1"/>
  <c r="O699" i="4" a="1"/>
  <c r="J699" i="4" a="1"/>
  <c r="J699" i="4" s="1"/>
  <c r="R699" i="4" s="1"/>
  <c r="S699" i="4" s="1"/>
  <c r="L699" i="4" s="1"/>
  <c r="O698" i="4" a="1"/>
  <c r="O698" i="4" s="1"/>
  <c r="T698" i="4" s="1"/>
  <c r="U698" i="4" s="1"/>
  <c r="Q698" i="4" s="1"/>
  <c r="J698" i="4" a="1"/>
  <c r="J698" i="4" s="1"/>
  <c r="R698" i="4" s="1"/>
  <c r="S698" i="4" s="1"/>
  <c r="L698" i="4" s="1"/>
  <c r="O697" i="4" a="1"/>
  <c r="O697" i="4" s="1"/>
  <c r="T697" i="4" s="1"/>
  <c r="U697" i="4" s="1"/>
  <c r="Q697" i="4" s="1"/>
  <c r="J697" i="4" a="1"/>
  <c r="J697" i="4" s="1"/>
  <c r="R697" i="4" s="1"/>
  <c r="S697" i="4" s="1"/>
  <c r="L697" i="4" s="1"/>
  <c r="O696" i="4" a="1"/>
  <c r="O696" i="4" s="1"/>
  <c r="T696" i="4" s="1"/>
  <c r="U696" i="4" s="1"/>
  <c r="Q696" i="4" s="1"/>
  <c r="J696" i="4" a="1"/>
  <c r="J696" i="4" s="1"/>
  <c r="R696" i="4" s="1"/>
  <c r="S696" i="4" s="1"/>
  <c r="L696" i="4" s="1"/>
  <c r="O695" i="4"/>
  <c r="T695" i="4" s="1"/>
  <c r="U695" i="4" s="1"/>
  <c r="Q695" i="4" s="1"/>
  <c r="O695" i="4" a="1"/>
  <c r="J695" i="4" a="1"/>
  <c r="J695" i="4" s="1"/>
  <c r="R695" i="4" s="1"/>
  <c r="S695" i="4" s="1"/>
  <c r="L695" i="4" s="1"/>
  <c r="O694" i="4" a="1"/>
  <c r="O694" i="4" s="1"/>
  <c r="T694" i="4" s="1"/>
  <c r="U694" i="4" s="1"/>
  <c r="Q694" i="4" s="1"/>
  <c r="J694" i="4" a="1"/>
  <c r="J694" i="4" s="1"/>
  <c r="R694" i="4" s="1"/>
  <c r="S694" i="4" s="1"/>
  <c r="L694" i="4" s="1"/>
  <c r="O693" i="4" a="1"/>
  <c r="O693" i="4" s="1"/>
  <c r="T693" i="4" s="1"/>
  <c r="U693" i="4" s="1"/>
  <c r="Q693" i="4" s="1"/>
  <c r="J693" i="4"/>
  <c r="R693" i="4" s="1"/>
  <c r="S693" i="4" s="1"/>
  <c r="L693" i="4" s="1"/>
  <c r="J693" i="4" a="1"/>
  <c r="O692" i="4" a="1"/>
  <c r="O692" i="4" s="1"/>
  <c r="T692" i="4" s="1"/>
  <c r="U692" i="4" s="1"/>
  <c r="Q692" i="4" s="1"/>
  <c r="J692" i="4" a="1"/>
  <c r="J692" i="4" s="1"/>
  <c r="R692" i="4" s="1"/>
  <c r="S692" i="4" s="1"/>
  <c r="L692" i="4" s="1"/>
  <c r="O691" i="4" a="1"/>
  <c r="O691" i="4" s="1"/>
  <c r="T691" i="4" s="1"/>
  <c r="U691" i="4" s="1"/>
  <c r="Q691" i="4" s="1"/>
  <c r="J691" i="4" a="1"/>
  <c r="J691" i="4" s="1"/>
  <c r="R691" i="4" s="1"/>
  <c r="S691" i="4" s="1"/>
  <c r="L691" i="4" s="1"/>
  <c r="O690" i="4" a="1"/>
  <c r="O690" i="4" s="1"/>
  <c r="T690" i="4" s="1"/>
  <c r="U690" i="4" s="1"/>
  <c r="Q690" i="4" s="1"/>
  <c r="J690" i="4"/>
  <c r="R690" i="4" s="1"/>
  <c r="S690" i="4" s="1"/>
  <c r="L690" i="4" s="1"/>
  <c r="J690" i="4" a="1"/>
  <c r="O689" i="4" a="1"/>
  <c r="O689" i="4" s="1"/>
  <c r="T689" i="4" s="1"/>
  <c r="U689" i="4" s="1"/>
  <c r="Q689" i="4" s="1"/>
  <c r="J689" i="4" a="1"/>
  <c r="J689" i="4" s="1"/>
  <c r="R689" i="4" s="1"/>
  <c r="S689" i="4" s="1"/>
  <c r="L689" i="4" s="1"/>
  <c r="O688" i="4" a="1"/>
  <c r="O688" i="4" s="1"/>
  <c r="T688" i="4" s="1"/>
  <c r="U688" i="4" s="1"/>
  <c r="Q688" i="4" s="1"/>
  <c r="J688" i="4" a="1"/>
  <c r="J688" i="4" s="1"/>
  <c r="R688" i="4" s="1"/>
  <c r="S688" i="4" s="1"/>
  <c r="L688" i="4" s="1"/>
  <c r="O714" i="4" a="1"/>
  <c r="O714" i="4" s="1"/>
  <c r="T714" i="4" s="1"/>
  <c r="U714" i="4" s="1"/>
  <c r="Q714" i="4" s="1"/>
  <c r="J714" i="4" a="1"/>
  <c r="J714" i="4" s="1"/>
  <c r="R714" i="4" s="1"/>
  <c r="S714" i="4" s="1"/>
  <c r="L714" i="4" s="1"/>
  <c r="O713" i="4" a="1"/>
  <c r="O713" i="4" s="1"/>
  <c r="T713" i="4" s="1"/>
  <c r="U713" i="4" s="1"/>
  <c r="Q713" i="4" s="1"/>
  <c r="J713" i="4" a="1"/>
  <c r="J713" i="4" s="1"/>
  <c r="R713" i="4" s="1"/>
  <c r="S713" i="4" s="1"/>
  <c r="L713" i="4" s="1"/>
  <c r="O712" i="4" a="1"/>
  <c r="O712" i="4" s="1"/>
  <c r="T712" i="4" s="1"/>
  <c r="U712" i="4" s="1"/>
  <c r="Q712" i="4" s="1"/>
  <c r="J712" i="4" a="1"/>
  <c r="J712" i="4" s="1"/>
  <c r="R712" i="4" s="1"/>
  <c r="S712" i="4" s="1"/>
  <c r="L712" i="4" s="1"/>
  <c r="O711" i="4" a="1"/>
  <c r="O711" i="4" s="1"/>
  <c r="T711" i="4" s="1"/>
  <c r="U711" i="4" s="1"/>
  <c r="Q711" i="4" s="1"/>
  <c r="J711" i="4" a="1"/>
  <c r="J711" i="4" s="1"/>
  <c r="R711" i="4" s="1"/>
  <c r="S711" i="4" s="1"/>
  <c r="L711" i="4" s="1"/>
  <c r="O687" i="4" a="1"/>
  <c r="O687" i="4" s="1"/>
  <c r="T687" i="4" s="1"/>
  <c r="U687" i="4" s="1"/>
  <c r="Q687" i="4" s="1"/>
  <c r="J687" i="4" a="1"/>
  <c r="J687" i="4" s="1"/>
  <c r="R687" i="4" s="1"/>
  <c r="S687" i="4" s="1"/>
  <c r="L687" i="4" s="1"/>
  <c r="O686" i="4" a="1"/>
  <c r="O686" i="4" s="1"/>
  <c r="T686" i="4" s="1"/>
  <c r="U686" i="4" s="1"/>
  <c r="Q686" i="4" s="1"/>
  <c r="J686" i="4" a="1"/>
  <c r="J686" i="4" s="1"/>
  <c r="R686" i="4" s="1"/>
  <c r="S686" i="4" s="1"/>
  <c r="L686" i="4" s="1"/>
  <c r="O685" i="4" a="1"/>
  <c r="O685" i="4" s="1"/>
  <c r="T685" i="4" s="1"/>
  <c r="U685" i="4" s="1"/>
  <c r="Q685" i="4" s="1"/>
  <c r="J685" i="4" a="1"/>
  <c r="J685" i="4" s="1"/>
  <c r="R685" i="4" s="1"/>
  <c r="S685" i="4" s="1"/>
  <c r="L685" i="4" s="1"/>
  <c r="O684" i="4" a="1"/>
  <c r="O684" i="4" s="1"/>
  <c r="T684" i="4" s="1"/>
  <c r="U684" i="4" s="1"/>
  <c r="Q684" i="4" s="1"/>
  <c r="J684" i="4" a="1"/>
  <c r="J684" i="4" s="1"/>
  <c r="R684" i="4" s="1"/>
  <c r="S684" i="4" s="1"/>
  <c r="L684" i="4" s="1"/>
  <c r="O683" i="4" a="1"/>
  <c r="O683" i="4" s="1"/>
  <c r="T683" i="4" s="1"/>
  <c r="U683" i="4" s="1"/>
  <c r="Q683" i="4" s="1"/>
  <c r="J683" i="4" a="1"/>
  <c r="J683" i="4" s="1"/>
  <c r="R683" i="4" s="1"/>
  <c r="S683" i="4" s="1"/>
  <c r="L683" i="4" s="1"/>
  <c r="O682" i="4" a="1"/>
  <c r="O682" i="4" s="1"/>
  <c r="T682" i="4" s="1"/>
  <c r="U682" i="4" s="1"/>
  <c r="Q682" i="4" s="1"/>
  <c r="J682" i="4" a="1"/>
  <c r="J682" i="4" s="1"/>
  <c r="R682" i="4" s="1"/>
  <c r="S682" i="4" s="1"/>
  <c r="L682" i="4" s="1"/>
  <c r="O681" i="4" a="1"/>
  <c r="O681" i="4" s="1"/>
  <c r="T681" i="4" s="1"/>
  <c r="U681" i="4" s="1"/>
  <c r="Q681" i="4" s="1"/>
  <c r="J681" i="4" a="1"/>
  <c r="J681" i="4" s="1"/>
  <c r="R681" i="4" s="1"/>
  <c r="S681" i="4" s="1"/>
  <c r="L681" i="4" s="1"/>
  <c r="O680" i="4" a="1"/>
  <c r="O680" i="4" s="1"/>
  <c r="T680" i="4" s="1"/>
  <c r="U680" i="4" s="1"/>
  <c r="Q680" i="4" s="1"/>
  <c r="J680" i="4" a="1"/>
  <c r="J680" i="4" s="1"/>
  <c r="R680" i="4" s="1"/>
  <c r="S680" i="4" s="1"/>
  <c r="L680" i="4" s="1"/>
  <c r="O679" i="4" a="1"/>
  <c r="O679" i="4" s="1"/>
  <c r="T679" i="4" s="1"/>
  <c r="U679" i="4" s="1"/>
  <c r="Q679" i="4" s="1"/>
  <c r="J679" i="4" a="1"/>
  <c r="J679" i="4" s="1"/>
  <c r="R679" i="4" s="1"/>
  <c r="S679" i="4" s="1"/>
  <c r="L679" i="4" s="1"/>
  <c r="O678" i="4" a="1"/>
  <c r="O678" i="4" s="1"/>
  <c r="T678" i="4" s="1"/>
  <c r="U678" i="4" s="1"/>
  <c r="Q678" i="4" s="1"/>
  <c r="J678" i="4" a="1"/>
  <c r="J678" i="4" s="1"/>
  <c r="R678" i="4" s="1"/>
  <c r="S678" i="4" s="1"/>
  <c r="L678" i="4" s="1"/>
  <c r="O677" i="4" a="1"/>
  <c r="O677" i="4" s="1"/>
  <c r="T677" i="4" s="1"/>
  <c r="U677" i="4" s="1"/>
  <c r="Q677" i="4" s="1"/>
  <c r="J677" i="4" a="1"/>
  <c r="J677" i="4" s="1"/>
  <c r="R677" i="4" s="1"/>
  <c r="S677" i="4" s="1"/>
  <c r="L677" i="4" s="1"/>
  <c r="O676" i="4" a="1"/>
  <c r="O676" i="4" s="1"/>
  <c r="T676" i="4" s="1"/>
  <c r="U676" i="4" s="1"/>
  <c r="Q676" i="4" s="1"/>
  <c r="J676" i="4" a="1"/>
  <c r="J676" i="4" s="1"/>
  <c r="R676" i="4" s="1"/>
  <c r="S676" i="4" s="1"/>
  <c r="L676" i="4" s="1"/>
  <c r="O675" i="4" a="1"/>
  <c r="O675" i="4" s="1"/>
  <c r="T675" i="4" s="1"/>
  <c r="U675" i="4" s="1"/>
  <c r="Q675" i="4" s="1"/>
  <c r="J675" i="4" a="1"/>
  <c r="J675" i="4" s="1"/>
  <c r="R675" i="4" s="1"/>
  <c r="S675" i="4" s="1"/>
  <c r="L675" i="4" s="1"/>
  <c r="O674" i="4" a="1"/>
  <c r="O674" i="4" s="1"/>
  <c r="T674" i="4" s="1"/>
  <c r="U674" i="4" s="1"/>
  <c r="Q674" i="4" s="1"/>
  <c r="J674" i="4" a="1"/>
  <c r="J674" i="4" s="1"/>
  <c r="R674" i="4" s="1"/>
  <c r="S674" i="4" s="1"/>
  <c r="L674" i="4" s="1"/>
  <c r="O673" i="4" a="1"/>
  <c r="O673" i="4" s="1"/>
  <c r="T673" i="4" s="1"/>
  <c r="U673" i="4" s="1"/>
  <c r="Q673" i="4" s="1"/>
  <c r="J673" i="4" a="1"/>
  <c r="J673" i="4" s="1"/>
  <c r="R673" i="4" s="1"/>
  <c r="S673" i="4" s="1"/>
  <c r="L673" i="4" s="1"/>
  <c r="O672" i="4" a="1"/>
  <c r="O672" i="4" s="1"/>
  <c r="T672" i="4" s="1"/>
  <c r="U672" i="4" s="1"/>
  <c r="Q672" i="4" s="1"/>
  <c r="J672" i="4" a="1"/>
  <c r="J672" i="4" s="1"/>
  <c r="R672" i="4" s="1"/>
  <c r="S672" i="4" s="1"/>
  <c r="L672" i="4" s="1"/>
  <c r="O671" i="4" a="1"/>
  <c r="O671" i="4" s="1"/>
  <c r="T671" i="4" s="1"/>
  <c r="U671" i="4" s="1"/>
  <c r="Q671" i="4" s="1"/>
  <c r="J671" i="4" a="1"/>
  <c r="J671" i="4" s="1"/>
  <c r="R671" i="4" s="1"/>
  <c r="S671" i="4" s="1"/>
  <c r="L671" i="4" s="1"/>
  <c r="O670" i="4" a="1"/>
  <c r="O670" i="4" s="1"/>
  <c r="T670" i="4" s="1"/>
  <c r="U670" i="4" s="1"/>
  <c r="Q670" i="4" s="1"/>
  <c r="J670" i="4" a="1"/>
  <c r="J670" i="4" s="1"/>
  <c r="R670" i="4" s="1"/>
  <c r="S670" i="4" s="1"/>
  <c r="L670" i="4" s="1"/>
  <c r="O669" i="4" a="1"/>
  <c r="O669" i="4" s="1"/>
  <c r="T669" i="4" s="1"/>
  <c r="U669" i="4" s="1"/>
  <c r="Q669" i="4" s="1"/>
  <c r="J669" i="4" a="1"/>
  <c r="J669" i="4" s="1"/>
  <c r="R669" i="4" s="1"/>
  <c r="S669" i="4" s="1"/>
  <c r="L669" i="4" s="1"/>
  <c r="O667" i="4" a="1"/>
  <c r="O667" i="4" s="1"/>
  <c r="T667" i="4" s="1"/>
  <c r="U667" i="4" s="1"/>
  <c r="Q667" i="4" s="1"/>
  <c r="J667" i="4" a="1"/>
  <c r="J667" i="4" s="1"/>
  <c r="R667" i="4" s="1"/>
  <c r="S667" i="4" s="1"/>
  <c r="L667" i="4" s="1"/>
  <c r="O666" i="4" a="1"/>
  <c r="O666" i="4" s="1"/>
  <c r="T666" i="4" s="1"/>
  <c r="U666" i="4" s="1"/>
  <c r="Q666" i="4" s="1"/>
  <c r="J666" i="4" a="1"/>
  <c r="J666" i="4" s="1"/>
  <c r="R666" i="4" s="1"/>
  <c r="S666" i="4" s="1"/>
  <c r="L666" i="4" s="1"/>
  <c r="O665" i="4" a="1"/>
  <c r="O665" i="4" s="1"/>
  <c r="T665" i="4" s="1"/>
  <c r="U665" i="4" s="1"/>
  <c r="Q665" i="4" s="1"/>
  <c r="J665" i="4" a="1"/>
  <c r="J665" i="4" s="1"/>
  <c r="R665" i="4" s="1"/>
  <c r="S665" i="4" s="1"/>
  <c r="L665" i="4" s="1"/>
  <c r="O664" i="4" a="1"/>
  <c r="O664" i="4" s="1"/>
  <c r="T664" i="4" s="1"/>
  <c r="U664" i="4" s="1"/>
  <c r="Q664" i="4" s="1"/>
  <c r="J664" i="4" a="1"/>
  <c r="J664" i="4" s="1"/>
  <c r="R664" i="4" s="1"/>
  <c r="S664" i="4" s="1"/>
  <c r="L664" i="4" s="1"/>
  <c r="O663" i="4" a="1"/>
  <c r="O663" i="4" s="1"/>
  <c r="T663" i="4" s="1"/>
  <c r="U663" i="4" s="1"/>
  <c r="Q663" i="4" s="1"/>
  <c r="J663" i="4" a="1"/>
  <c r="J663" i="4" s="1"/>
  <c r="R663" i="4" s="1"/>
  <c r="S663" i="4" s="1"/>
  <c r="L663" i="4" s="1"/>
  <c r="O662" i="4" a="1"/>
  <c r="O662" i="4" s="1"/>
  <c r="T662" i="4" s="1"/>
  <c r="U662" i="4" s="1"/>
  <c r="Q662" i="4" s="1"/>
  <c r="J662" i="4" a="1"/>
  <c r="J662" i="4" s="1"/>
  <c r="R662" i="4" s="1"/>
  <c r="S662" i="4" s="1"/>
  <c r="L662" i="4" s="1"/>
  <c r="O661" i="4" a="1"/>
  <c r="O661" i="4" s="1"/>
  <c r="T661" i="4" s="1"/>
  <c r="U661" i="4" s="1"/>
  <c r="Q661" i="4" s="1"/>
  <c r="J661" i="4" a="1"/>
  <c r="J661" i="4" s="1"/>
  <c r="R661" i="4" s="1"/>
  <c r="S661" i="4" s="1"/>
  <c r="L661" i="4" s="1"/>
  <c r="O660" i="4" a="1"/>
  <c r="O660" i="4" s="1"/>
  <c r="T660" i="4" s="1"/>
  <c r="U660" i="4" s="1"/>
  <c r="Q660" i="4" s="1"/>
  <c r="J660" i="4" a="1"/>
  <c r="J660" i="4" s="1"/>
  <c r="R660" i="4" s="1"/>
  <c r="S660" i="4" s="1"/>
  <c r="L660" i="4" s="1"/>
  <c r="O659" i="4" a="1"/>
  <c r="O659" i="4" s="1"/>
  <c r="T659" i="4" s="1"/>
  <c r="U659" i="4" s="1"/>
  <c r="Q659" i="4" s="1"/>
  <c r="J659" i="4" a="1"/>
  <c r="J659" i="4" s="1"/>
  <c r="R659" i="4" s="1"/>
  <c r="S659" i="4" s="1"/>
  <c r="L659" i="4" s="1"/>
  <c r="O658" i="4" a="1"/>
  <c r="O658" i="4" s="1"/>
  <c r="T658" i="4" s="1"/>
  <c r="U658" i="4" s="1"/>
  <c r="Q658" i="4" s="1"/>
  <c r="J658" i="4" a="1"/>
  <c r="J658" i="4" s="1"/>
  <c r="R658" i="4" s="1"/>
  <c r="S658" i="4" s="1"/>
  <c r="L658" i="4" s="1"/>
  <c r="O657" i="4" a="1"/>
  <c r="O657" i="4" s="1"/>
  <c r="T657" i="4" s="1"/>
  <c r="U657" i="4" s="1"/>
  <c r="Q657" i="4" s="1"/>
  <c r="J657" i="4" a="1"/>
  <c r="J657" i="4" s="1"/>
  <c r="R657" i="4" s="1"/>
  <c r="S657" i="4" s="1"/>
  <c r="L657" i="4" s="1"/>
  <c r="O656" i="4" a="1"/>
  <c r="O656" i="4" s="1"/>
  <c r="T656" i="4" s="1"/>
  <c r="U656" i="4" s="1"/>
  <c r="Q656" i="4" s="1"/>
  <c r="J656" i="4" a="1"/>
  <c r="J656" i="4" s="1"/>
  <c r="R656" i="4" s="1"/>
  <c r="S656" i="4" s="1"/>
  <c r="L656" i="4" s="1"/>
  <c r="O655" i="4" a="1"/>
  <c r="O655" i="4" s="1"/>
  <c r="T655" i="4" s="1"/>
  <c r="U655" i="4" s="1"/>
  <c r="Q655" i="4" s="1"/>
  <c r="J655" i="4" a="1"/>
  <c r="J655" i="4" s="1"/>
  <c r="R655" i="4" s="1"/>
  <c r="S655" i="4" s="1"/>
  <c r="L655" i="4" s="1"/>
  <c r="O654" i="4" a="1"/>
  <c r="O654" i="4" s="1"/>
  <c r="T654" i="4" s="1"/>
  <c r="U654" i="4" s="1"/>
  <c r="Q654" i="4" s="1"/>
  <c r="J654" i="4" a="1"/>
  <c r="J654" i="4" s="1"/>
  <c r="R654" i="4" s="1"/>
  <c r="S654" i="4" s="1"/>
  <c r="L654" i="4" s="1"/>
  <c r="O653" i="4" a="1"/>
  <c r="O653" i="4" s="1"/>
  <c r="T653" i="4" s="1"/>
  <c r="U653" i="4" s="1"/>
  <c r="Q653" i="4" s="1"/>
  <c r="J653" i="4" a="1"/>
  <c r="J653" i="4" s="1"/>
  <c r="R653" i="4" s="1"/>
  <c r="S653" i="4" s="1"/>
  <c r="L653" i="4" s="1"/>
  <c r="O652" i="4" a="1"/>
  <c r="O652" i="4" s="1"/>
  <c r="T652" i="4" s="1"/>
  <c r="U652" i="4" s="1"/>
  <c r="Q652" i="4" s="1"/>
  <c r="J652" i="4" a="1"/>
  <c r="J652" i="4" s="1"/>
  <c r="R652" i="4" s="1"/>
  <c r="S652" i="4" s="1"/>
  <c r="L652" i="4" s="1"/>
  <c r="O651" i="4" a="1"/>
  <c r="O651" i="4" s="1"/>
  <c r="T651" i="4" s="1"/>
  <c r="U651" i="4" s="1"/>
  <c r="Q651" i="4" s="1"/>
  <c r="J651" i="4" a="1"/>
  <c r="J651" i="4" s="1"/>
  <c r="R651" i="4" s="1"/>
  <c r="S651" i="4" s="1"/>
  <c r="L651" i="4" s="1"/>
  <c r="O650" i="4" a="1"/>
  <c r="O650" i="4" s="1"/>
  <c r="T650" i="4" s="1"/>
  <c r="U650" i="4" s="1"/>
  <c r="Q650" i="4" s="1"/>
  <c r="J650" i="4" a="1"/>
  <c r="J650" i="4" s="1"/>
  <c r="R650" i="4" s="1"/>
  <c r="S650" i="4" s="1"/>
  <c r="L650" i="4" s="1"/>
  <c r="O649" i="4" a="1"/>
  <c r="O649" i="4" s="1"/>
  <c r="T649" i="4" s="1"/>
  <c r="U649" i="4" s="1"/>
  <c r="Q649" i="4" s="1"/>
  <c r="J649" i="4" a="1"/>
  <c r="J649" i="4" s="1"/>
  <c r="R649" i="4" s="1"/>
  <c r="S649" i="4" s="1"/>
  <c r="L649" i="4" s="1"/>
  <c r="O648" i="4" a="1"/>
  <c r="O648" i="4" s="1"/>
  <c r="T648" i="4" s="1"/>
  <c r="U648" i="4" s="1"/>
  <c r="Q648" i="4" s="1"/>
  <c r="J648" i="4" a="1"/>
  <c r="J648" i="4" s="1"/>
  <c r="R648" i="4" s="1"/>
  <c r="S648" i="4" s="1"/>
  <c r="L648" i="4" s="1"/>
  <c r="O647" i="4" a="1"/>
  <c r="O647" i="4" s="1"/>
  <c r="T647" i="4" s="1"/>
  <c r="U647" i="4" s="1"/>
  <c r="Q647" i="4" s="1"/>
  <c r="J647" i="4" a="1"/>
  <c r="J647" i="4" s="1"/>
  <c r="R647" i="4" s="1"/>
  <c r="S647" i="4" s="1"/>
  <c r="L647" i="4" s="1"/>
  <c r="O717" i="4" a="1"/>
  <c r="O717" i="4" s="1"/>
  <c r="T717" i="4" s="1"/>
  <c r="U717" i="4" s="1"/>
  <c r="Q717" i="4" s="1"/>
  <c r="J717" i="4" a="1"/>
  <c r="J717" i="4" s="1"/>
  <c r="R717" i="4" s="1"/>
  <c r="S717" i="4" s="1"/>
  <c r="L717" i="4" s="1"/>
  <c r="O716" i="4" a="1"/>
  <c r="O716" i="4" s="1"/>
  <c r="T716" i="4" s="1"/>
  <c r="U716" i="4" s="1"/>
  <c r="Q716" i="4" s="1"/>
  <c r="J716" i="4" a="1"/>
  <c r="J716" i="4" s="1"/>
  <c r="R716" i="4" s="1"/>
  <c r="S716" i="4" s="1"/>
  <c r="L716" i="4" s="1"/>
  <c r="O715" i="4" a="1"/>
  <c r="O715" i="4" s="1"/>
  <c r="T715" i="4" s="1"/>
  <c r="U715" i="4" s="1"/>
  <c r="Q715" i="4" s="1"/>
  <c r="J715" i="4" a="1"/>
  <c r="J715" i="4" s="1"/>
  <c r="R715" i="4" s="1"/>
  <c r="S715" i="4" s="1"/>
  <c r="L715" i="4" s="1"/>
  <c r="O668" i="4" a="1"/>
  <c r="O668" i="4" s="1"/>
  <c r="T668" i="4" s="1"/>
  <c r="U668" i="4" s="1"/>
  <c r="Q668" i="4" s="1"/>
  <c r="J668" i="4" a="1"/>
  <c r="J668" i="4" s="1"/>
  <c r="R668" i="4" s="1"/>
  <c r="S668" i="4" s="1"/>
  <c r="L668" i="4" s="1"/>
  <c r="O646" i="4" a="1"/>
  <c r="O646" i="4" s="1"/>
  <c r="T646" i="4" s="1"/>
  <c r="U646" i="4" s="1"/>
  <c r="Q646" i="4" s="1"/>
  <c r="J646" i="4" a="1"/>
  <c r="J646" i="4" s="1"/>
  <c r="R646" i="4" s="1"/>
  <c r="S646" i="4" s="1"/>
  <c r="L646" i="4" s="1"/>
  <c r="O645" i="4" a="1"/>
  <c r="O645" i="4" s="1"/>
  <c r="T645" i="4" s="1"/>
  <c r="U645" i="4" s="1"/>
  <c r="Q645" i="4" s="1"/>
  <c r="J645" i="4" a="1"/>
  <c r="J645" i="4" s="1"/>
  <c r="R645" i="4" s="1"/>
  <c r="S645" i="4" s="1"/>
  <c r="L645" i="4" s="1"/>
  <c r="O644" i="4" a="1"/>
  <c r="O644" i="4" s="1"/>
  <c r="T644" i="4" s="1"/>
  <c r="U644" i="4" s="1"/>
  <c r="Q644" i="4" s="1"/>
  <c r="J644" i="4" a="1"/>
  <c r="J644" i="4" s="1"/>
  <c r="R644" i="4" s="1"/>
  <c r="S644" i="4" s="1"/>
  <c r="L644" i="4" s="1"/>
  <c r="O643" i="4" a="1"/>
  <c r="O643" i="4" s="1"/>
  <c r="T643" i="4" s="1"/>
  <c r="U643" i="4" s="1"/>
  <c r="Q643" i="4" s="1"/>
  <c r="J643" i="4" a="1"/>
  <c r="J643" i="4" s="1"/>
  <c r="R643" i="4" s="1"/>
  <c r="S643" i="4" s="1"/>
  <c r="L643" i="4" s="1"/>
  <c r="O642" i="4" a="1"/>
  <c r="O642" i="4" s="1"/>
  <c r="T642" i="4" s="1"/>
  <c r="U642" i="4" s="1"/>
  <c r="Q642" i="4" s="1"/>
  <c r="J642" i="4" a="1"/>
  <c r="J642" i="4" s="1"/>
  <c r="R642" i="4" s="1"/>
  <c r="S642" i="4" s="1"/>
  <c r="L642" i="4" s="1"/>
  <c r="O641" i="4" a="1"/>
  <c r="O641" i="4" s="1"/>
  <c r="T641" i="4" s="1"/>
  <c r="U641" i="4" s="1"/>
  <c r="Q641" i="4" s="1"/>
  <c r="J641" i="4" a="1"/>
  <c r="J641" i="4" s="1"/>
  <c r="R641" i="4" s="1"/>
  <c r="S641" i="4" s="1"/>
  <c r="L641" i="4" s="1"/>
  <c r="O640" i="4" a="1"/>
  <c r="O640" i="4" s="1"/>
  <c r="T640" i="4" s="1"/>
  <c r="U640" i="4" s="1"/>
  <c r="Q640" i="4" s="1"/>
  <c r="J640" i="4" a="1"/>
  <c r="J640" i="4" s="1"/>
  <c r="R640" i="4" s="1"/>
  <c r="S640" i="4" s="1"/>
  <c r="L640" i="4" s="1"/>
  <c r="O639" i="4" a="1"/>
  <c r="O639" i="4" s="1"/>
  <c r="T639" i="4" s="1"/>
  <c r="U639" i="4" s="1"/>
  <c r="Q639" i="4" s="1"/>
  <c r="J639" i="4" a="1"/>
  <c r="J639" i="4" s="1"/>
  <c r="R639" i="4" s="1"/>
  <c r="S639" i="4" s="1"/>
  <c r="L639" i="4" s="1"/>
  <c r="O638" i="4" a="1"/>
  <c r="O638" i="4" s="1"/>
  <c r="T638" i="4" s="1"/>
  <c r="U638" i="4" s="1"/>
  <c r="Q638" i="4" s="1"/>
  <c r="J638" i="4" a="1"/>
  <c r="J638" i="4" s="1"/>
  <c r="R638" i="4" s="1"/>
  <c r="S638" i="4" s="1"/>
  <c r="L638" i="4" s="1"/>
  <c r="O637" i="4" a="1"/>
  <c r="O637" i="4" s="1"/>
  <c r="T637" i="4" s="1"/>
  <c r="U637" i="4" s="1"/>
  <c r="Q637" i="4" s="1"/>
  <c r="J637" i="4" a="1"/>
  <c r="J637" i="4" s="1"/>
  <c r="R637" i="4" s="1"/>
  <c r="S637" i="4" s="1"/>
  <c r="L637" i="4" s="1"/>
  <c r="O636" i="4" a="1"/>
  <c r="O636" i="4" s="1"/>
  <c r="T636" i="4" s="1"/>
  <c r="U636" i="4" s="1"/>
  <c r="Q636" i="4" s="1"/>
  <c r="J636" i="4" a="1"/>
  <c r="J636" i="4" s="1"/>
  <c r="R636" i="4" s="1"/>
  <c r="S636" i="4" s="1"/>
  <c r="L636" i="4" s="1"/>
  <c r="O635" i="4" a="1"/>
  <c r="O635" i="4" s="1"/>
  <c r="T635" i="4" s="1"/>
  <c r="U635" i="4" s="1"/>
  <c r="Q635" i="4" s="1"/>
  <c r="J635" i="4" a="1"/>
  <c r="J635" i="4" s="1"/>
  <c r="R635" i="4" s="1"/>
  <c r="S635" i="4" s="1"/>
  <c r="L635" i="4" s="1"/>
  <c r="O634" i="4" a="1"/>
  <c r="O634" i="4" s="1"/>
  <c r="T634" i="4" s="1"/>
  <c r="U634" i="4" s="1"/>
  <c r="Q634" i="4" s="1"/>
  <c r="J634" i="4" a="1"/>
  <c r="J634" i="4" s="1"/>
  <c r="R634" i="4" s="1"/>
  <c r="S634" i="4" s="1"/>
  <c r="L634" i="4" s="1"/>
  <c r="O633" i="4" a="1"/>
  <c r="O633" i="4" s="1"/>
  <c r="T633" i="4" s="1"/>
  <c r="U633" i="4" s="1"/>
  <c r="Q633" i="4" s="1"/>
  <c r="J633" i="4" a="1"/>
  <c r="J633" i="4" s="1"/>
  <c r="R633" i="4" s="1"/>
  <c r="S633" i="4" s="1"/>
  <c r="L633" i="4" s="1"/>
  <c r="O632" i="4" a="1"/>
  <c r="O632" i="4" s="1"/>
  <c r="T632" i="4" s="1"/>
  <c r="U632" i="4" s="1"/>
  <c r="Q632" i="4" s="1"/>
  <c r="J632" i="4" a="1"/>
  <c r="J632" i="4" s="1"/>
  <c r="R632" i="4" s="1"/>
  <c r="S632" i="4" s="1"/>
  <c r="L632" i="4" s="1"/>
  <c r="O631" i="4" a="1"/>
  <c r="O631" i="4" s="1"/>
  <c r="T631" i="4" s="1"/>
  <c r="U631" i="4" s="1"/>
  <c r="Q631" i="4" s="1"/>
  <c r="J631" i="4" a="1"/>
  <c r="J631" i="4" s="1"/>
  <c r="R631" i="4" s="1"/>
  <c r="S631" i="4" s="1"/>
  <c r="L631" i="4" s="1"/>
  <c r="O630" i="4" a="1"/>
  <c r="O630" i="4" s="1"/>
  <c r="T630" i="4" s="1"/>
  <c r="U630" i="4" s="1"/>
  <c r="Q630" i="4" s="1"/>
  <c r="J630" i="4" a="1"/>
  <c r="J630" i="4" s="1"/>
  <c r="R630" i="4" s="1"/>
  <c r="S630" i="4" s="1"/>
  <c r="L630" i="4" s="1"/>
  <c r="O629" i="4" a="1"/>
  <c r="O629" i="4" s="1"/>
  <c r="T629" i="4" s="1"/>
  <c r="U629" i="4" s="1"/>
  <c r="Q629" i="4" s="1"/>
  <c r="J629" i="4" a="1"/>
  <c r="J629" i="4" s="1"/>
  <c r="R629" i="4" s="1"/>
  <c r="S629" i="4" s="1"/>
  <c r="L629" i="4" s="1"/>
  <c r="O628" i="4" a="1"/>
  <c r="O628" i="4" s="1"/>
  <c r="T628" i="4" s="1"/>
  <c r="U628" i="4" s="1"/>
  <c r="Q628" i="4" s="1"/>
  <c r="J628" i="4" a="1"/>
  <c r="J628" i="4" s="1"/>
  <c r="R628" i="4" s="1"/>
  <c r="S628" i="4" s="1"/>
  <c r="L628" i="4" s="1"/>
  <c r="O627" i="4" a="1"/>
  <c r="O627" i="4" s="1"/>
  <c r="T627" i="4" s="1"/>
  <c r="U627" i="4" s="1"/>
  <c r="Q627" i="4" s="1"/>
  <c r="J627" i="4" a="1"/>
  <c r="J627" i="4" s="1"/>
  <c r="R627" i="4" s="1"/>
  <c r="S627" i="4" s="1"/>
  <c r="L627" i="4" s="1"/>
  <c r="O626" i="4" a="1"/>
  <c r="O626" i="4" s="1"/>
  <c r="T626" i="4" s="1"/>
  <c r="U626" i="4" s="1"/>
  <c r="Q626" i="4" s="1"/>
  <c r="J626" i="4" a="1"/>
  <c r="J626" i="4" s="1"/>
  <c r="R626" i="4" s="1"/>
  <c r="S626" i="4" s="1"/>
  <c r="L626" i="4" s="1"/>
  <c r="O625" i="4" a="1"/>
  <c r="O625" i="4" s="1"/>
  <c r="T625" i="4" s="1"/>
  <c r="U625" i="4" s="1"/>
  <c r="Q625" i="4" s="1"/>
  <c r="J625" i="4" a="1"/>
  <c r="J625" i="4" s="1"/>
  <c r="R625" i="4" s="1"/>
  <c r="S625" i="4" s="1"/>
  <c r="L625" i="4" s="1"/>
  <c r="O624" i="4" a="1"/>
  <c r="O624" i="4" s="1"/>
  <c r="T624" i="4" s="1"/>
  <c r="U624" i="4" s="1"/>
  <c r="Q624" i="4" s="1"/>
  <c r="J624" i="4" a="1"/>
  <c r="J624" i="4" s="1"/>
  <c r="R624" i="4" s="1"/>
  <c r="S624" i="4" s="1"/>
  <c r="L624" i="4" s="1"/>
  <c r="O623" i="4" a="1"/>
  <c r="O623" i="4" s="1"/>
  <c r="T623" i="4" s="1"/>
  <c r="U623" i="4" s="1"/>
  <c r="Q623" i="4" s="1"/>
  <c r="J623" i="4" a="1"/>
  <c r="J623" i="4" s="1"/>
  <c r="R623" i="4" s="1"/>
  <c r="S623" i="4" s="1"/>
  <c r="L623" i="4" s="1"/>
  <c r="O622" i="4" a="1"/>
  <c r="O622" i="4" s="1"/>
  <c r="T622" i="4" s="1"/>
  <c r="U622" i="4" s="1"/>
  <c r="Q622" i="4" s="1"/>
  <c r="J622" i="4" a="1"/>
  <c r="J622" i="4" s="1"/>
  <c r="R622" i="4" s="1"/>
  <c r="S622" i="4" s="1"/>
  <c r="L622" i="4" s="1"/>
  <c r="O621" i="4" a="1"/>
  <c r="O621" i="4" s="1"/>
  <c r="T621" i="4" s="1"/>
  <c r="U621" i="4" s="1"/>
  <c r="Q621" i="4" s="1"/>
  <c r="J621" i="4" a="1"/>
  <c r="J621" i="4" s="1"/>
  <c r="R621" i="4" s="1"/>
  <c r="S621" i="4" s="1"/>
  <c r="L621" i="4" s="1"/>
  <c r="O732" i="4" a="1"/>
  <c r="O732" i="4" s="1"/>
  <c r="T732" i="4" s="1"/>
  <c r="U732" i="4" s="1"/>
  <c r="Q732" i="4" s="1"/>
  <c r="J732" i="4" a="1"/>
  <c r="J732" i="4" s="1"/>
  <c r="R732" i="4" s="1"/>
  <c r="S732" i="4" s="1"/>
  <c r="L732" i="4" s="1"/>
  <c r="O731" i="4" a="1"/>
  <c r="O731" i="4" s="1"/>
  <c r="T731" i="4" s="1"/>
  <c r="U731" i="4" s="1"/>
  <c r="Q731" i="4" s="1"/>
  <c r="J731" i="4" a="1"/>
  <c r="J731" i="4" s="1"/>
  <c r="R731" i="4" s="1"/>
  <c r="S731" i="4" s="1"/>
  <c r="L731" i="4" s="1"/>
  <c r="O730" i="4" a="1"/>
  <c r="O730" i="4" s="1"/>
  <c r="T730" i="4" s="1"/>
  <c r="U730" i="4" s="1"/>
  <c r="Q730" i="4" s="1"/>
  <c r="J730" i="4" a="1"/>
  <c r="J730" i="4" s="1"/>
  <c r="R730" i="4" s="1"/>
  <c r="S730" i="4" s="1"/>
  <c r="L730" i="4" s="1"/>
  <c r="O729" i="4" a="1"/>
  <c r="O729" i="4" s="1"/>
  <c r="T729" i="4" s="1"/>
  <c r="U729" i="4" s="1"/>
  <c r="Q729" i="4" s="1"/>
  <c r="J729" i="4" a="1"/>
  <c r="J729" i="4" s="1"/>
  <c r="R729" i="4" s="1"/>
  <c r="S729" i="4" s="1"/>
  <c r="L729" i="4" s="1"/>
  <c r="O728" i="4" a="1"/>
  <c r="O728" i="4" s="1"/>
  <c r="T728" i="4" s="1"/>
  <c r="U728" i="4" s="1"/>
  <c r="Q728" i="4" s="1"/>
  <c r="J728" i="4" a="1"/>
  <c r="J728" i="4" s="1"/>
  <c r="R728" i="4" s="1"/>
  <c r="S728" i="4" s="1"/>
  <c r="L728" i="4" s="1"/>
  <c r="O727" i="4" a="1"/>
  <c r="O727" i="4" s="1"/>
  <c r="T727" i="4" s="1"/>
  <c r="U727" i="4" s="1"/>
  <c r="Q727" i="4" s="1"/>
  <c r="J727" i="4" a="1"/>
  <c r="J727" i="4" s="1"/>
  <c r="R727" i="4" s="1"/>
  <c r="S727" i="4" s="1"/>
  <c r="L727" i="4" s="1"/>
  <c r="O726" i="4" a="1"/>
  <c r="O726" i="4" s="1"/>
  <c r="T726" i="4" s="1"/>
  <c r="U726" i="4" s="1"/>
  <c r="Q726" i="4" s="1"/>
  <c r="J726" i="4" a="1"/>
  <c r="J726" i="4" s="1"/>
  <c r="R726" i="4" s="1"/>
  <c r="S726" i="4" s="1"/>
  <c r="L726" i="4" s="1"/>
  <c r="O725" i="4" a="1"/>
  <c r="O725" i="4" s="1"/>
  <c r="T725" i="4" s="1"/>
  <c r="U725" i="4" s="1"/>
  <c r="Q725" i="4" s="1"/>
  <c r="J725" i="4" a="1"/>
  <c r="J725" i="4" s="1"/>
  <c r="R725" i="4" s="1"/>
  <c r="S725" i="4" s="1"/>
  <c r="L725" i="4" s="1"/>
  <c r="O724" i="4" a="1"/>
  <c r="O724" i="4" s="1"/>
  <c r="T724" i="4" s="1"/>
  <c r="U724" i="4" s="1"/>
  <c r="Q724" i="4" s="1"/>
  <c r="J724" i="4" a="1"/>
  <c r="J724" i="4" s="1"/>
  <c r="R724" i="4" s="1"/>
  <c r="S724" i="4" s="1"/>
  <c r="L724" i="4" s="1"/>
  <c r="O723" i="4" a="1"/>
  <c r="O723" i="4" s="1"/>
  <c r="T723" i="4" s="1"/>
  <c r="U723" i="4" s="1"/>
  <c r="Q723" i="4" s="1"/>
  <c r="J723" i="4" a="1"/>
  <c r="J723" i="4" s="1"/>
  <c r="R723" i="4" s="1"/>
  <c r="S723" i="4" s="1"/>
  <c r="L723" i="4" s="1"/>
  <c r="O722" i="4" a="1"/>
  <c r="O722" i="4" s="1"/>
  <c r="T722" i="4" s="1"/>
  <c r="U722" i="4" s="1"/>
  <c r="Q722" i="4" s="1"/>
  <c r="J722" i="4" a="1"/>
  <c r="J722" i="4" s="1"/>
  <c r="R722" i="4" s="1"/>
  <c r="S722" i="4" s="1"/>
  <c r="L722" i="4" s="1"/>
  <c r="O721" i="4" a="1"/>
  <c r="O721" i="4" s="1"/>
  <c r="T721" i="4" s="1"/>
  <c r="U721" i="4" s="1"/>
  <c r="Q721" i="4" s="1"/>
  <c r="J721" i="4" a="1"/>
  <c r="J721" i="4" s="1"/>
  <c r="R721" i="4" s="1"/>
  <c r="S721" i="4" s="1"/>
  <c r="L721" i="4" s="1"/>
  <c r="O720" i="4" a="1"/>
  <c r="O720" i="4" s="1"/>
  <c r="T720" i="4" s="1"/>
  <c r="U720" i="4" s="1"/>
  <c r="Q720" i="4" s="1"/>
  <c r="J720" i="4" a="1"/>
  <c r="J720" i="4" s="1"/>
  <c r="R720" i="4" s="1"/>
  <c r="S720" i="4" s="1"/>
  <c r="L720" i="4" s="1"/>
  <c r="O719" i="4" a="1"/>
  <c r="O719" i="4" s="1"/>
  <c r="T719" i="4" s="1"/>
  <c r="U719" i="4" s="1"/>
  <c r="Q719" i="4" s="1"/>
  <c r="J719" i="4" a="1"/>
  <c r="J719" i="4" s="1"/>
  <c r="R719" i="4" s="1"/>
  <c r="S719" i="4" s="1"/>
  <c r="L719" i="4" s="1"/>
  <c r="O718" i="4" a="1"/>
  <c r="O718" i="4" s="1"/>
  <c r="T718" i="4" s="1"/>
  <c r="U718" i="4" s="1"/>
  <c r="Q718" i="4" s="1"/>
  <c r="J718" i="4" a="1"/>
  <c r="J718" i="4" s="1"/>
  <c r="R718" i="4" s="1"/>
  <c r="S718" i="4" s="1"/>
  <c r="L718" i="4" s="1"/>
  <c r="O739" i="4" a="1"/>
  <c r="O739" i="4" s="1"/>
  <c r="T739" i="4" s="1"/>
  <c r="U739" i="4" s="1"/>
  <c r="Q739" i="4" s="1"/>
  <c r="J739" i="4" a="1"/>
  <c r="J739" i="4" s="1"/>
  <c r="R739" i="4" s="1"/>
  <c r="S739" i="4" s="1"/>
  <c r="L739" i="4" s="1"/>
  <c r="O738" i="4" a="1"/>
  <c r="O738" i="4" s="1"/>
  <c r="T738" i="4" s="1"/>
  <c r="U738" i="4" s="1"/>
  <c r="Q738" i="4" s="1"/>
  <c r="J738" i="4" a="1"/>
  <c r="J738" i="4" s="1"/>
  <c r="R738" i="4" s="1"/>
  <c r="S738" i="4" s="1"/>
  <c r="L738" i="4" s="1"/>
  <c r="O737" i="4" a="1"/>
  <c r="O737" i="4" s="1"/>
  <c r="T737" i="4" s="1"/>
  <c r="U737" i="4" s="1"/>
  <c r="Q737" i="4" s="1"/>
  <c r="J737" i="4" a="1"/>
  <c r="J737" i="4" s="1"/>
  <c r="R737" i="4" s="1"/>
  <c r="S737" i="4" s="1"/>
  <c r="L737" i="4" s="1"/>
  <c r="O736" i="4" a="1"/>
  <c r="O736" i="4" s="1"/>
  <c r="T736" i="4" s="1"/>
  <c r="U736" i="4" s="1"/>
  <c r="Q736" i="4" s="1"/>
  <c r="J736" i="4" a="1"/>
  <c r="J736" i="4" s="1"/>
  <c r="R736" i="4" s="1"/>
  <c r="S736" i="4" s="1"/>
  <c r="L736" i="4" s="1"/>
  <c r="O735" i="4" a="1"/>
  <c r="O735" i="4" s="1"/>
  <c r="T735" i="4" s="1"/>
  <c r="U735" i="4" s="1"/>
  <c r="Q735" i="4" s="1"/>
  <c r="J735" i="4" a="1"/>
  <c r="J735" i="4" s="1"/>
  <c r="R735" i="4" s="1"/>
  <c r="S735" i="4" s="1"/>
  <c r="L735" i="4" s="1"/>
  <c r="O734" i="4" a="1"/>
  <c r="O734" i="4" s="1"/>
  <c r="T734" i="4" s="1"/>
  <c r="U734" i="4" s="1"/>
  <c r="Q734" i="4" s="1"/>
  <c r="J734" i="4" a="1"/>
  <c r="J734" i="4" s="1"/>
  <c r="R734" i="4" s="1"/>
  <c r="S734" i="4" s="1"/>
  <c r="L734" i="4" s="1"/>
  <c r="O733" i="4" a="1"/>
  <c r="O733" i="4" s="1"/>
  <c r="T733" i="4" s="1"/>
  <c r="U733" i="4" s="1"/>
  <c r="Q733" i="4" s="1"/>
  <c r="J733" i="4" a="1"/>
  <c r="J733" i="4" s="1"/>
  <c r="R733" i="4" s="1"/>
  <c r="S733" i="4" s="1"/>
  <c r="L733" i="4" s="1"/>
  <c r="O620" i="4" a="1"/>
  <c r="O620" i="4" s="1"/>
  <c r="T620" i="4" s="1"/>
  <c r="U620" i="4" s="1"/>
  <c r="Q620" i="4" s="1"/>
  <c r="J620" i="4" a="1"/>
  <c r="J620" i="4" s="1"/>
  <c r="R620" i="4" s="1"/>
  <c r="S620" i="4" s="1"/>
  <c r="L620" i="4" s="1"/>
  <c r="O600" i="4" a="1"/>
  <c r="O600" i="4" s="1"/>
  <c r="T600" i="4" s="1"/>
  <c r="U600" i="4" s="1"/>
  <c r="Q600" i="4" s="1"/>
  <c r="J600" i="4" a="1"/>
  <c r="J600" i="4" s="1"/>
  <c r="R600" i="4" s="1"/>
  <c r="S600" i="4" s="1"/>
  <c r="L600" i="4" s="1"/>
  <c r="O599" i="4" a="1"/>
  <c r="O599" i="4" s="1"/>
  <c r="T599" i="4" s="1"/>
  <c r="U599" i="4" s="1"/>
  <c r="Q599" i="4" s="1"/>
  <c r="J599" i="4" a="1"/>
  <c r="J599" i="4" s="1"/>
  <c r="R599" i="4" s="1"/>
  <c r="S599" i="4" s="1"/>
  <c r="L599" i="4" s="1"/>
  <c r="O598" i="4" a="1"/>
  <c r="O598" i="4" s="1"/>
  <c r="T598" i="4" s="1"/>
  <c r="U598" i="4" s="1"/>
  <c r="Q598" i="4" s="1"/>
  <c r="J598" i="4" a="1"/>
  <c r="J598" i="4" s="1"/>
  <c r="R598" i="4" s="1"/>
  <c r="S598" i="4" s="1"/>
  <c r="L598" i="4" s="1"/>
  <c r="O597" i="4" a="1"/>
  <c r="O597" i="4" s="1"/>
  <c r="T597" i="4" s="1"/>
  <c r="U597" i="4" s="1"/>
  <c r="Q597" i="4" s="1"/>
  <c r="J597" i="4" a="1"/>
  <c r="J597" i="4" s="1"/>
  <c r="R597" i="4" s="1"/>
  <c r="S597" i="4" s="1"/>
  <c r="L597" i="4" s="1"/>
  <c r="O596" i="4" a="1"/>
  <c r="O596" i="4" s="1"/>
  <c r="T596" i="4" s="1"/>
  <c r="U596" i="4" s="1"/>
  <c r="Q596" i="4" s="1"/>
  <c r="J596" i="4" a="1"/>
  <c r="J596" i="4" s="1"/>
  <c r="R596" i="4" s="1"/>
  <c r="S596" i="4" s="1"/>
  <c r="L596" i="4" s="1"/>
  <c r="O595" i="4" a="1"/>
  <c r="O595" i="4" s="1"/>
  <c r="T595" i="4" s="1"/>
  <c r="U595" i="4" s="1"/>
  <c r="Q595" i="4" s="1"/>
  <c r="J595" i="4" a="1"/>
  <c r="J595" i="4" s="1"/>
  <c r="R595" i="4" s="1"/>
  <c r="S595" i="4" s="1"/>
  <c r="L595" i="4" s="1"/>
  <c r="O594" i="4" a="1"/>
  <c r="O594" i="4" s="1"/>
  <c r="T594" i="4" s="1"/>
  <c r="U594" i="4" s="1"/>
  <c r="Q594" i="4" s="1"/>
  <c r="J594" i="4" a="1"/>
  <c r="J594" i="4" s="1"/>
  <c r="R594" i="4" s="1"/>
  <c r="S594" i="4" s="1"/>
  <c r="L594" i="4" s="1"/>
  <c r="O593" i="4" a="1"/>
  <c r="O593" i="4" s="1"/>
  <c r="T593" i="4" s="1"/>
  <c r="U593" i="4" s="1"/>
  <c r="Q593" i="4" s="1"/>
  <c r="J593" i="4" a="1"/>
  <c r="J593" i="4" s="1"/>
  <c r="R593" i="4" s="1"/>
  <c r="S593" i="4" s="1"/>
  <c r="L593" i="4" s="1"/>
  <c r="O592" i="4" a="1"/>
  <c r="O592" i="4" s="1"/>
  <c r="T592" i="4" s="1"/>
  <c r="U592" i="4" s="1"/>
  <c r="Q592" i="4" s="1"/>
  <c r="J592" i="4" a="1"/>
  <c r="J592" i="4" s="1"/>
  <c r="R592" i="4" s="1"/>
  <c r="S592" i="4" s="1"/>
  <c r="L592" i="4" s="1"/>
  <c r="O591" i="4" a="1"/>
  <c r="O591" i="4" s="1"/>
  <c r="T591" i="4" s="1"/>
  <c r="U591" i="4" s="1"/>
  <c r="Q591" i="4" s="1"/>
  <c r="J591" i="4" a="1"/>
  <c r="J591" i="4" s="1"/>
  <c r="R591" i="4" s="1"/>
  <c r="S591" i="4" s="1"/>
  <c r="L591" i="4" s="1"/>
  <c r="O590" i="4" a="1"/>
  <c r="O590" i="4" s="1"/>
  <c r="T590" i="4" s="1"/>
  <c r="U590" i="4" s="1"/>
  <c r="Q590" i="4" s="1"/>
  <c r="J590" i="4" a="1"/>
  <c r="J590" i="4" s="1"/>
  <c r="R590" i="4" s="1"/>
  <c r="S590" i="4" s="1"/>
  <c r="L590" i="4" s="1"/>
  <c r="O589" i="4" a="1"/>
  <c r="O589" i="4" s="1"/>
  <c r="T589" i="4" s="1"/>
  <c r="U589" i="4" s="1"/>
  <c r="Q589" i="4" s="1"/>
  <c r="J589" i="4" a="1"/>
  <c r="J589" i="4" s="1"/>
  <c r="R589" i="4" s="1"/>
  <c r="S589" i="4" s="1"/>
  <c r="L589" i="4" s="1"/>
  <c r="O588" i="4" a="1"/>
  <c r="O588" i="4" s="1"/>
  <c r="T588" i="4" s="1"/>
  <c r="U588" i="4" s="1"/>
  <c r="Q588" i="4" s="1"/>
  <c r="J588" i="4" a="1"/>
  <c r="J588" i="4" s="1"/>
  <c r="R588" i="4" s="1"/>
  <c r="S588" i="4" s="1"/>
  <c r="L588" i="4" s="1"/>
  <c r="O587" i="4" a="1"/>
  <c r="O587" i="4" s="1"/>
  <c r="T587" i="4" s="1"/>
  <c r="U587" i="4" s="1"/>
  <c r="Q587" i="4" s="1"/>
  <c r="J587" i="4" a="1"/>
  <c r="J587" i="4" s="1"/>
  <c r="R587" i="4" s="1"/>
  <c r="S587" i="4" s="1"/>
  <c r="L587" i="4" s="1"/>
  <c r="O586" i="4" a="1"/>
  <c r="O586" i="4" s="1"/>
  <c r="T586" i="4" s="1"/>
  <c r="U586" i="4" s="1"/>
  <c r="Q586" i="4" s="1"/>
  <c r="J586" i="4" a="1"/>
  <c r="J586" i="4" s="1"/>
  <c r="R586" i="4" s="1"/>
  <c r="S586" i="4" s="1"/>
  <c r="L586" i="4" s="1"/>
  <c r="O585" i="4" a="1"/>
  <c r="O585" i="4" s="1"/>
  <c r="T585" i="4" s="1"/>
  <c r="U585" i="4" s="1"/>
  <c r="Q585" i="4" s="1"/>
  <c r="J585" i="4" a="1"/>
  <c r="J585" i="4" s="1"/>
  <c r="R585" i="4" s="1"/>
  <c r="S585" i="4" s="1"/>
  <c r="L585" i="4" s="1"/>
  <c r="O584" i="4" a="1"/>
  <c r="O584" i="4" s="1"/>
  <c r="T584" i="4" s="1"/>
  <c r="U584" i="4" s="1"/>
  <c r="Q584" i="4" s="1"/>
  <c r="J584" i="4" a="1"/>
  <c r="J584" i="4" s="1"/>
  <c r="R584" i="4" s="1"/>
  <c r="S584" i="4" s="1"/>
  <c r="L584" i="4" s="1"/>
  <c r="O583" i="4" a="1"/>
  <c r="O583" i="4" s="1"/>
  <c r="T583" i="4" s="1"/>
  <c r="U583" i="4" s="1"/>
  <c r="Q583" i="4" s="1"/>
  <c r="J583" i="4" a="1"/>
  <c r="J583" i="4" s="1"/>
  <c r="R583" i="4" s="1"/>
  <c r="S583" i="4" s="1"/>
  <c r="L583" i="4" s="1"/>
  <c r="O582" i="4" a="1"/>
  <c r="O582" i="4" s="1"/>
  <c r="T582" i="4" s="1"/>
  <c r="U582" i="4" s="1"/>
  <c r="Q582" i="4" s="1"/>
  <c r="J582" i="4" a="1"/>
  <c r="J582" i="4" s="1"/>
  <c r="R582" i="4" s="1"/>
  <c r="S582" i="4" s="1"/>
  <c r="L582" i="4" s="1"/>
  <c r="O581" i="4" a="1"/>
  <c r="O581" i="4" s="1"/>
  <c r="T581" i="4" s="1"/>
  <c r="U581" i="4" s="1"/>
  <c r="Q581" i="4" s="1"/>
  <c r="J581" i="4" a="1"/>
  <c r="J581" i="4" s="1"/>
  <c r="R581" i="4" s="1"/>
  <c r="S581" i="4" s="1"/>
  <c r="L581" i="4" s="1"/>
  <c r="O580" i="4" a="1"/>
  <c r="O580" i="4" s="1"/>
  <c r="T580" i="4" s="1"/>
  <c r="U580" i="4" s="1"/>
  <c r="Q580" i="4" s="1"/>
  <c r="J580" i="4" a="1"/>
  <c r="J580" i="4" s="1"/>
  <c r="R580" i="4" s="1"/>
  <c r="S580" i="4" s="1"/>
  <c r="L580" i="4" s="1"/>
  <c r="O569" i="4" a="1"/>
  <c r="O569" i="4" s="1"/>
  <c r="T569" i="4" s="1"/>
  <c r="U569" i="4" s="1"/>
  <c r="Q569" i="4" s="1"/>
  <c r="J569" i="4" a="1"/>
  <c r="J569" i="4" s="1"/>
  <c r="R569" i="4" s="1"/>
  <c r="S569" i="4" s="1"/>
  <c r="L569" i="4" s="1"/>
  <c r="O568" i="4" a="1"/>
  <c r="O568" i="4" s="1"/>
  <c r="T568" i="4" s="1"/>
  <c r="U568" i="4" s="1"/>
  <c r="Q568" i="4" s="1"/>
  <c r="J568" i="4" a="1"/>
  <c r="J568" i="4" s="1"/>
  <c r="R568" i="4" s="1"/>
  <c r="S568" i="4" s="1"/>
  <c r="L568" i="4" s="1"/>
  <c r="O567" i="4" a="1"/>
  <c r="O567" i="4" s="1"/>
  <c r="T567" i="4" s="1"/>
  <c r="U567" i="4" s="1"/>
  <c r="Q567" i="4" s="1"/>
  <c r="J567" i="4" a="1"/>
  <c r="J567" i="4" s="1"/>
  <c r="R567" i="4" s="1"/>
  <c r="S567" i="4" s="1"/>
  <c r="L567" i="4" s="1"/>
  <c r="O566" i="4" a="1"/>
  <c r="O566" i="4" s="1"/>
  <c r="T566" i="4" s="1"/>
  <c r="U566" i="4" s="1"/>
  <c r="Q566" i="4" s="1"/>
  <c r="J566" i="4" a="1"/>
  <c r="J566" i="4" s="1"/>
  <c r="R566" i="4" s="1"/>
  <c r="S566" i="4" s="1"/>
  <c r="L566" i="4" s="1"/>
  <c r="O565" i="4" a="1"/>
  <c r="O565" i="4" s="1"/>
  <c r="T565" i="4" s="1"/>
  <c r="U565" i="4" s="1"/>
  <c r="Q565" i="4" s="1"/>
  <c r="J565" i="4" a="1"/>
  <c r="J565" i="4" s="1"/>
  <c r="R565" i="4" s="1"/>
  <c r="S565" i="4" s="1"/>
  <c r="L565" i="4" s="1"/>
  <c r="O564" i="4" a="1"/>
  <c r="O564" i="4" s="1"/>
  <c r="T564" i="4" s="1"/>
  <c r="U564" i="4" s="1"/>
  <c r="Q564" i="4" s="1"/>
  <c r="J564" i="4" a="1"/>
  <c r="J564" i="4" s="1"/>
  <c r="R564" i="4" s="1"/>
  <c r="S564" i="4" s="1"/>
  <c r="L564" i="4" s="1"/>
  <c r="O563" i="4" a="1"/>
  <c r="O563" i="4" s="1"/>
  <c r="T563" i="4" s="1"/>
  <c r="U563" i="4" s="1"/>
  <c r="Q563" i="4" s="1"/>
  <c r="J563" i="4" a="1"/>
  <c r="J563" i="4" s="1"/>
  <c r="R563" i="4" s="1"/>
  <c r="S563" i="4" s="1"/>
  <c r="L563" i="4" s="1"/>
  <c r="O562" i="4" a="1"/>
  <c r="O562" i="4" s="1"/>
  <c r="T562" i="4" s="1"/>
  <c r="U562" i="4" s="1"/>
  <c r="Q562" i="4" s="1"/>
  <c r="J562" i="4" a="1"/>
  <c r="J562" i="4" s="1"/>
  <c r="R562" i="4" s="1"/>
  <c r="S562" i="4" s="1"/>
  <c r="L562" i="4" s="1"/>
  <c r="O561" i="4" a="1"/>
  <c r="O561" i="4" s="1"/>
  <c r="T561" i="4" s="1"/>
  <c r="U561" i="4" s="1"/>
  <c r="Q561" i="4" s="1"/>
  <c r="J561" i="4" a="1"/>
  <c r="J561" i="4" s="1"/>
  <c r="R561" i="4" s="1"/>
  <c r="S561" i="4" s="1"/>
  <c r="L561" i="4" s="1"/>
  <c r="O560" i="4" a="1"/>
  <c r="O560" i="4" s="1"/>
  <c r="T560" i="4" s="1"/>
  <c r="U560" i="4" s="1"/>
  <c r="Q560" i="4" s="1"/>
  <c r="J560" i="4" a="1"/>
  <c r="J560" i="4" s="1"/>
  <c r="R560" i="4" s="1"/>
  <c r="S560" i="4" s="1"/>
  <c r="L560" i="4" s="1"/>
  <c r="O559" i="4" a="1"/>
  <c r="O559" i="4" s="1"/>
  <c r="T559" i="4" s="1"/>
  <c r="U559" i="4" s="1"/>
  <c r="Q559" i="4" s="1"/>
  <c r="J559" i="4" a="1"/>
  <c r="J559" i="4" s="1"/>
  <c r="R559" i="4" s="1"/>
  <c r="S559" i="4" s="1"/>
  <c r="L559" i="4" s="1"/>
  <c r="O558" i="4" a="1"/>
  <c r="O558" i="4" s="1"/>
  <c r="T558" i="4" s="1"/>
  <c r="U558" i="4" s="1"/>
  <c r="Q558" i="4" s="1"/>
  <c r="J558" i="4" a="1"/>
  <c r="J558" i="4" s="1"/>
  <c r="R558" i="4" s="1"/>
  <c r="S558" i="4" s="1"/>
  <c r="L558" i="4" s="1"/>
  <c r="O557" i="4" a="1"/>
  <c r="O557" i="4" s="1"/>
  <c r="T557" i="4" s="1"/>
  <c r="U557" i="4" s="1"/>
  <c r="Q557" i="4" s="1"/>
  <c r="J557" i="4" a="1"/>
  <c r="J557" i="4" s="1"/>
  <c r="R557" i="4" s="1"/>
  <c r="S557" i="4" s="1"/>
  <c r="L557" i="4" s="1"/>
  <c r="O556" i="4" a="1"/>
  <c r="O556" i="4" s="1"/>
  <c r="T556" i="4" s="1"/>
  <c r="U556" i="4" s="1"/>
  <c r="Q556" i="4" s="1"/>
  <c r="J556" i="4" a="1"/>
  <c r="J556" i="4" s="1"/>
  <c r="R556" i="4" s="1"/>
  <c r="S556" i="4" s="1"/>
  <c r="L556" i="4" s="1"/>
  <c r="O555" i="4" a="1"/>
  <c r="O555" i="4" s="1"/>
  <c r="T555" i="4" s="1"/>
  <c r="U555" i="4" s="1"/>
  <c r="Q555" i="4" s="1"/>
  <c r="J555" i="4" a="1"/>
  <c r="J555" i="4" s="1"/>
  <c r="R555" i="4" s="1"/>
  <c r="S555" i="4" s="1"/>
  <c r="L555" i="4" s="1"/>
  <c r="O554" i="4" a="1"/>
  <c r="O554" i="4" s="1"/>
  <c r="T554" i="4" s="1"/>
  <c r="U554" i="4" s="1"/>
  <c r="Q554" i="4" s="1"/>
  <c r="J554" i="4" a="1"/>
  <c r="J554" i="4" s="1"/>
  <c r="R554" i="4" s="1"/>
  <c r="S554" i="4" s="1"/>
  <c r="L554" i="4" s="1"/>
  <c r="O553" i="4" a="1"/>
  <c r="O553" i="4" s="1"/>
  <c r="T553" i="4" s="1"/>
  <c r="U553" i="4" s="1"/>
  <c r="Q553" i="4" s="1"/>
  <c r="J553" i="4" a="1"/>
  <c r="J553" i="4" s="1"/>
  <c r="R553" i="4" s="1"/>
  <c r="S553" i="4" s="1"/>
  <c r="L553" i="4" s="1"/>
  <c r="O552" i="4" a="1"/>
  <c r="O552" i="4" s="1"/>
  <c r="T552" i="4" s="1"/>
  <c r="U552" i="4" s="1"/>
  <c r="Q552" i="4" s="1"/>
  <c r="J552" i="4" a="1"/>
  <c r="J552" i="4" s="1"/>
  <c r="R552" i="4" s="1"/>
  <c r="S552" i="4" s="1"/>
  <c r="L552" i="4" s="1"/>
  <c r="O608" i="4" a="1"/>
  <c r="O608" i="4" s="1"/>
  <c r="T608" i="4" s="1"/>
  <c r="U608" i="4" s="1"/>
  <c r="Q608" i="4" s="1"/>
  <c r="J608" i="4" a="1"/>
  <c r="J608" i="4" s="1"/>
  <c r="R608" i="4" s="1"/>
  <c r="S608" i="4" s="1"/>
  <c r="L608" i="4" s="1"/>
  <c r="O607" i="4" a="1"/>
  <c r="O607" i="4" s="1"/>
  <c r="T607" i="4" s="1"/>
  <c r="U607" i="4" s="1"/>
  <c r="Q607" i="4" s="1"/>
  <c r="J607" i="4" a="1"/>
  <c r="J607" i="4" s="1"/>
  <c r="R607" i="4" s="1"/>
  <c r="S607" i="4" s="1"/>
  <c r="L607" i="4" s="1"/>
  <c r="O606" i="4" a="1"/>
  <c r="O606" i="4" s="1"/>
  <c r="T606" i="4" s="1"/>
  <c r="U606" i="4" s="1"/>
  <c r="Q606" i="4" s="1"/>
  <c r="J606" i="4" a="1"/>
  <c r="J606" i="4" s="1"/>
  <c r="R606" i="4" s="1"/>
  <c r="S606" i="4" s="1"/>
  <c r="L606" i="4" s="1"/>
  <c r="O605" i="4" a="1"/>
  <c r="O605" i="4" s="1"/>
  <c r="T605" i="4" s="1"/>
  <c r="U605" i="4" s="1"/>
  <c r="Q605" i="4" s="1"/>
  <c r="J605" i="4" a="1"/>
  <c r="J605" i="4" s="1"/>
  <c r="R605" i="4" s="1"/>
  <c r="S605" i="4" s="1"/>
  <c r="L605" i="4" s="1"/>
  <c r="O604" i="4" a="1"/>
  <c r="O604" i="4" s="1"/>
  <c r="T604" i="4" s="1"/>
  <c r="U604" i="4" s="1"/>
  <c r="Q604" i="4" s="1"/>
  <c r="J604" i="4" a="1"/>
  <c r="J604" i="4" s="1"/>
  <c r="R604" i="4" s="1"/>
  <c r="S604" i="4" s="1"/>
  <c r="L604" i="4" s="1"/>
  <c r="O603" i="4" a="1"/>
  <c r="O603" i="4" s="1"/>
  <c r="T603" i="4" s="1"/>
  <c r="U603" i="4" s="1"/>
  <c r="Q603" i="4" s="1"/>
  <c r="J603" i="4" a="1"/>
  <c r="J603" i="4" s="1"/>
  <c r="R603" i="4" s="1"/>
  <c r="S603" i="4" s="1"/>
  <c r="L603" i="4" s="1"/>
  <c r="O602" i="4" a="1"/>
  <c r="O602" i="4" s="1"/>
  <c r="T602" i="4" s="1"/>
  <c r="U602" i="4" s="1"/>
  <c r="Q602" i="4" s="1"/>
  <c r="J602" i="4" a="1"/>
  <c r="J602" i="4" s="1"/>
  <c r="R602" i="4" s="1"/>
  <c r="S602" i="4" s="1"/>
  <c r="L602" i="4" s="1"/>
  <c r="O601" i="4" a="1"/>
  <c r="O601" i="4" s="1"/>
  <c r="T601" i="4" s="1"/>
  <c r="U601" i="4" s="1"/>
  <c r="Q601" i="4" s="1"/>
  <c r="J601" i="4" a="1"/>
  <c r="J601" i="4" s="1"/>
  <c r="R601" i="4" s="1"/>
  <c r="S601" i="4" s="1"/>
  <c r="L601" i="4" s="1"/>
  <c r="O579" i="4" a="1"/>
  <c r="O579" i="4" s="1"/>
  <c r="T579" i="4" s="1"/>
  <c r="U579" i="4" s="1"/>
  <c r="Q579" i="4" s="1"/>
  <c r="J579" i="4" a="1"/>
  <c r="J579" i="4" s="1"/>
  <c r="R579" i="4" s="1"/>
  <c r="S579" i="4" s="1"/>
  <c r="L579" i="4" s="1"/>
  <c r="O578" i="4" a="1"/>
  <c r="O578" i="4" s="1"/>
  <c r="T578" i="4" s="1"/>
  <c r="U578" i="4" s="1"/>
  <c r="Q578" i="4" s="1"/>
  <c r="J578" i="4" a="1"/>
  <c r="J578" i="4" s="1"/>
  <c r="R578" i="4" s="1"/>
  <c r="S578" i="4" s="1"/>
  <c r="L578" i="4" s="1"/>
  <c r="O577" i="4" a="1"/>
  <c r="O577" i="4" s="1"/>
  <c r="T577" i="4" s="1"/>
  <c r="U577" i="4" s="1"/>
  <c r="Q577" i="4" s="1"/>
  <c r="J577" i="4" a="1"/>
  <c r="J577" i="4" s="1"/>
  <c r="R577" i="4" s="1"/>
  <c r="S577" i="4" s="1"/>
  <c r="L577" i="4" s="1"/>
  <c r="O576" i="4" a="1"/>
  <c r="O576" i="4" s="1"/>
  <c r="T576" i="4" s="1"/>
  <c r="U576" i="4" s="1"/>
  <c r="Q576" i="4" s="1"/>
  <c r="J576" i="4" a="1"/>
  <c r="J576" i="4" s="1"/>
  <c r="R576" i="4" s="1"/>
  <c r="S576" i="4" s="1"/>
  <c r="L576" i="4" s="1"/>
  <c r="O575" i="4" a="1"/>
  <c r="O575" i="4" s="1"/>
  <c r="T575" i="4" s="1"/>
  <c r="U575" i="4" s="1"/>
  <c r="Q575" i="4" s="1"/>
  <c r="J575" i="4" a="1"/>
  <c r="J575" i="4" s="1"/>
  <c r="R575" i="4" s="1"/>
  <c r="S575" i="4" s="1"/>
  <c r="L575" i="4" s="1"/>
  <c r="O574" i="4" a="1"/>
  <c r="O574" i="4" s="1"/>
  <c r="T574" i="4" s="1"/>
  <c r="U574" i="4" s="1"/>
  <c r="Q574" i="4" s="1"/>
  <c r="J574" i="4" a="1"/>
  <c r="J574" i="4" s="1"/>
  <c r="R574" i="4" s="1"/>
  <c r="S574" i="4" s="1"/>
  <c r="L574" i="4" s="1"/>
  <c r="O573" i="4" a="1"/>
  <c r="O573" i="4" s="1"/>
  <c r="T573" i="4" s="1"/>
  <c r="U573" i="4" s="1"/>
  <c r="Q573" i="4" s="1"/>
  <c r="J573" i="4" a="1"/>
  <c r="J573" i="4" s="1"/>
  <c r="R573" i="4" s="1"/>
  <c r="S573" i="4" s="1"/>
  <c r="L573" i="4" s="1"/>
  <c r="O572" i="4" a="1"/>
  <c r="O572" i="4" s="1"/>
  <c r="T572" i="4" s="1"/>
  <c r="U572" i="4" s="1"/>
  <c r="Q572" i="4" s="1"/>
  <c r="J572" i="4" a="1"/>
  <c r="J572" i="4" s="1"/>
  <c r="R572" i="4" s="1"/>
  <c r="S572" i="4" s="1"/>
  <c r="L572" i="4" s="1"/>
  <c r="O571" i="4" a="1"/>
  <c r="O571" i="4" s="1"/>
  <c r="T571" i="4" s="1"/>
  <c r="U571" i="4" s="1"/>
  <c r="Q571" i="4" s="1"/>
  <c r="J571" i="4" a="1"/>
  <c r="J571" i="4" s="1"/>
  <c r="R571" i="4" s="1"/>
  <c r="S571" i="4" s="1"/>
  <c r="L571" i="4" s="1"/>
  <c r="O570" i="4" a="1"/>
  <c r="O570" i="4" s="1"/>
  <c r="T570" i="4" s="1"/>
  <c r="U570" i="4" s="1"/>
  <c r="Q570" i="4" s="1"/>
  <c r="J570" i="4" a="1"/>
  <c r="J570" i="4" s="1"/>
  <c r="R570" i="4" s="1"/>
  <c r="S570" i="4" s="1"/>
  <c r="L570" i="4" s="1"/>
  <c r="O618" i="4" a="1"/>
  <c r="O618" i="4" s="1"/>
  <c r="T618" i="4" s="1"/>
  <c r="U618" i="4" s="1"/>
  <c r="Q618" i="4" s="1"/>
  <c r="J618" i="4" a="1"/>
  <c r="J618" i="4" s="1"/>
  <c r="R618" i="4" s="1"/>
  <c r="S618" i="4" s="1"/>
  <c r="L618" i="4" s="1"/>
  <c r="O617" i="4" a="1"/>
  <c r="O617" i="4" s="1"/>
  <c r="T617" i="4" s="1"/>
  <c r="U617" i="4" s="1"/>
  <c r="Q617" i="4" s="1"/>
  <c r="J617" i="4" a="1"/>
  <c r="J617" i="4" s="1"/>
  <c r="R617" i="4" s="1"/>
  <c r="S617" i="4" s="1"/>
  <c r="L617" i="4" s="1"/>
  <c r="O616" i="4" a="1"/>
  <c r="O616" i="4" s="1"/>
  <c r="T616" i="4" s="1"/>
  <c r="U616" i="4" s="1"/>
  <c r="Q616" i="4" s="1"/>
  <c r="J616" i="4" a="1"/>
  <c r="J616" i="4" s="1"/>
  <c r="R616" i="4" s="1"/>
  <c r="S616" i="4" s="1"/>
  <c r="L616" i="4" s="1"/>
  <c r="O615" i="4" a="1"/>
  <c r="O615" i="4" s="1"/>
  <c r="T615" i="4" s="1"/>
  <c r="U615" i="4" s="1"/>
  <c r="Q615" i="4" s="1"/>
  <c r="J615" i="4" a="1"/>
  <c r="J615" i="4" s="1"/>
  <c r="R615" i="4" s="1"/>
  <c r="S615" i="4" s="1"/>
  <c r="L615" i="4" s="1"/>
  <c r="O614" i="4" a="1"/>
  <c r="O614" i="4" s="1"/>
  <c r="T614" i="4" s="1"/>
  <c r="U614" i="4" s="1"/>
  <c r="Q614" i="4" s="1"/>
  <c r="J614" i="4" a="1"/>
  <c r="J614" i="4" s="1"/>
  <c r="R614" i="4" s="1"/>
  <c r="S614" i="4" s="1"/>
  <c r="L614" i="4" s="1"/>
  <c r="O613" i="4" a="1"/>
  <c r="O613" i="4" s="1"/>
  <c r="T613" i="4" s="1"/>
  <c r="U613" i="4" s="1"/>
  <c r="Q613" i="4" s="1"/>
  <c r="J613" i="4" a="1"/>
  <c r="J613" i="4" s="1"/>
  <c r="R613" i="4" s="1"/>
  <c r="S613" i="4" s="1"/>
  <c r="L613" i="4" s="1"/>
  <c r="O612" i="4" a="1"/>
  <c r="O612" i="4" s="1"/>
  <c r="T612" i="4" s="1"/>
  <c r="U612" i="4" s="1"/>
  <c r="Q612" i="4" s="1"/>
  <c r="J612" i="4" a="1"/>
  <c r="J612" i="4" s="1"/>
  <c r="R612" i="4" s="1"/>
  <c r="S612" i="4" s="1"/>
  <c r="L612" i="4" s="1"/>
  <c r="O611" i="4" a="1"/>
  <c r="O611" i="4" s="1"/>
  <c r="T611" i="4" s="1"/>
  <c r="U611" i="4" s="1"/>
  <c r="Q611" i="4" s="1"/>
  <c r="J611" i="4" a="1"/>
  <c r="J611" i="4" s="1"/>
  <c r="R611" i="4" s="1"/>
  <c r="S611" i="4" s="1"/>
  <c r="L611" i="4" s="1"/>
  <c r="O610" i="4" a="1"/>
  <c r="O610" i="4" s="1"/>
  <c r="T610" i="4" s="1"/>
  <c r="U610" i="4" s="1"/>
  <c r="Q610" i="4" s="1"/>
  <c r="J610" i="4" a="1"/>
  <c r="J610" i="4" s="1"/>
  <c r="R610" i="4" s="1"/>
  <c r="S610" i="4" s="1"/>
  <c r="L610" i="4" s="1"/>
  <c r="O609" i="4" a="1"/>
  <c r="O609" i="4" s="1"/>
  <c r="T609" i="4" s="1"/>
  <c r="U609" i="4" s="1"/>
  <c r="Q609" i="4" s="1"/>
  <c r="J609" i="4" a="1"/>
  <c r="J609" i="4" s="1"/>
  <c r="R609" i="4" s="1"/>
  <c r="S609" i="4" s="1"/>
  <c r="L609" i="4" s="1"/>
  <c r="J481" i="4" a="1"/>
  <c r="J481" i="4" s="1"/>
  <c r="R481" i="4" s="1"/>
  <c r="S481" i="4" s="1"/>
  <c r="L481" i="4" s="1"/>
  <c r="O511" i="4" a="1"/>
  <c r="O511" i="4" s="1"/>
  <c r="T511" i="4" s="1"/>
  <c r="U511" i="4" s="1"/>
  <c r="Q511" i="4" s="1"/>
  <c r="J511" i="4" a="1"/>
  <c r="J511" i="4" s="1"/>
  <c r="R511" i="4" s="1"/>
  <c r="S511" i="4" s="1"/>
  <c r="L511" i="4" s="1"/>
  <c r="O510" i="4" a="1"/>
  <c r="O510" i="4" s="1"/>
  <c r="T510" i="4" s="1"/>
  <c r="U510" i="4" s="1"/>
  <c r="Q510" i="4" s="1"/>
  <c r="J510" i="4" a="1"/>
  <c r="J510" i="4" s="1"/>
  <c r="R510" i="4" s="1"/>
  <c r="S510" i="4" s="1"/>
  <c r="L510" i="4" s="1"/>
  <c r="O509" i="4" a="1"/>
  <c r="O509" i="4" s="1"/>
  <c r="T509" i="4" s="1"/>
  <c r="U509" i="4" s="1"/>
  <c r="Q509" i="4" s="1"/>
  <c r="J509" i="4" a="1"/>
  <c r="J509" i="4" s="1"/>
  <c r="R509" i="4" s="1"/>
  <c r="S509" i="4" s="1"/>
  <c r="L509" i="4" s="1"/>
  <c r="O508" i="4" a="1"/>
  <c r="O508" i="4" s="1"/>
  <c r="T508" i="4" s="1"/>
  <c r="U508" i="4" s="1"/>
  <c r="Q508" i="4" s="1"/>
  <c r="J508" i="4" a="1"/>
  <c r="J508" i="4" s="1"/>
  <c r="R508" i="4" s="1"/>
  <c r="S508" i="4" s="1"/>
  <c r="L508" i="4" s="1"/>
  <c r="O507" i="4" a="1"/>
  <c r="O507" i="4" s="1"/>
  <c r="T507" i="4" s="1"/>
  <c r="U507" i="4" s="1"/>
  <c r="Q507" i="4" s="1"/>
  <c r="J507" i="4" a="1"/>
  <c r="J507" i="4" s="1"/>
  <c r="R507" i="4" s="1"/>
  <c r="S507" i="4" s="1"/>
  <c r="L507" i="4" s="1"/>
  <c r="O505" i="4" a="1"/>
  <c r="O505" i="4" s="1"/>
  <c r="T505" i="4" s="1"/>
  <c r="U505" i="4" s="1"/>
  <c r="Q505" i="4" s="1"/>
  <c r="J505" i="4" a="1"/>
  <c r="J505" i="4" s="1"/>
  <c r="R505" i="4" s="1"/>
  <c r="S505" i="4" s="1"/>
  <c r="L505" i="4" s="1"/>
  <c r="O504" i="4" a="1"/>
  <c r="O504" i="4" s="1"/>
  <c r="T504" i="4" s="1"/>
  <c r="U504" i="4" s="1"/>
  <c r="Q504" i="4" s="1"/>
  <c r="J504" i="4" a="1"/>
  <c r="J504" i="4" s="1"/>
  <c r="R504" i="4" s="1"/>
  <c r="S504" i="4" s="1"/>
  <c r="L504" i="4" s="1"/>
  <c r="O503" i="4" a="1"/>
  <c r="O503" i="4" s="1"/>
  <c r="T503" i="4" s="1"/>
  <c r="U503" i="4" s="1"/>
  <c r="Q503" i="4" s="1"/>
  <c r="J503" i="4" a="1"/>
  <c r="J503" i="4" s="1"/>
  <c r="R503" i="4" s="1"/>
  <c r="S503" i="4" s="1"/>
  <c r="L503" i="4" s="1"/>
  <c r="O502" i="4" a="1"/>
  <c r="O502" i="4" s="1"/>
  <c r="T502" i="4" s="1"/>
  <c r="U502" i="4" s="1"/>
  <c r="Q502" i="4" s="1"/>
  <c r="O501" i="4" a="1"/>
  <c r="O501" i="4" s="1"/>
  <c r="T501" i="4" s="1"/>
  <c r="U501" i="4" s="1"/>
  <c r="Q501" i="4" s="1"/>
  <c r="J501" i="4" a="1"/>
  <c r="J501" i="4" s="1"/>
  <c r="R501" i="4" s="1"/>
  <c r="S501" i="4" s="1"/>
  <c r="L501" i="4" s="1"/>
  <c r="O500" i="4" a="1"/>
  <c r="O500" i="4" s="1"/>
  <c r="T500" i="4" s="1"/>
  <c r="U500" i="4" s="1"/>
  <c r="Q500" i="4" s="1"/>
  <c r="J500" i="4" a="1"/>
  <c r="J500" i="4" s="1"/>
  <c r="R500" i="4" s="1"/>
  <c r="S500" i="4" s="1"/>
  <c r="L500" i="4" s="1"/>
  <c r="O498" i="4" a="1"/>
  <c r="O498" i="4" s="1"/>
  <c r="T498" i="4" s="1"/>
  <c r="U498" i="4" s="1"/>
  <c r="Q498" i="4" s="1"/>
  <c r="J498" i="4" a="1"/>
  <c r="J498" i="4" s="1"/>
  <c r="R498" i="4" s="1"/>
  <c r="S498" i="4" s="1"/>
  <c r="L498" i="4" s="1"/>
  <c r="O497" i="4" a="1"/>
  <c r="O497" i="4" s="1"/>
  <c r="T497" i="4" s="1"/>
  <c r="U497" i="4" s="1"/>
  <c r="Q497" i="4" s="1"/>
  <c r="J497" i="4" a="1"/>
  <c r="J497" i="4" s="1"/>
  <c r="R497" i="4" s="1"/>
  <c r="S497" i="4" s="1"/>
  <c r="L497" i="4" s="1"/>
  <c r="O496" i="4" a="1"/>
  <c r="O496" i="4" s="1"/>
  <c r="T496" i="4" s="1"/>
  <c r="U496" i="4" s="1"/>
  <c r="Q496" i="4" s="1"/>
  <c r="J496" i="4" a="1"/>
  <c r="J496" i="4" s="1"/>
  <c r="R496" i="4" s="1"/>
  <c r="S496" i="4" s="1"/>
  <c r="L496" i="4" s="1"/>
  <c r="O494" i="4" a="1"/>
  <c r="O494" i="4" s="1"/>
  <c r="T494" i="4" s="1"/>
  <c r="U494" i="4" s="1"/>
  <c r="Q494" i="4" s="1"/>
  <c r="J494" i="4" a="1"/>
  <c r="J494" i="4" s="1"/>
  <c r="R494" i="4" s="1"/>
  <c r="S494" i="4" s="1"/>
  <c r="L494" i="4" s="1"/>
  <c r="O492" i="4" a="1"/>
  <c r="O492" i="4" s="1"/>
  <c r="T492" i="4" s="1"/>
  <c r="U492" i="4" s="1"/>
  <c r="Q492" i="4" s="1"/>
  <c r="J492" i="4" a="1"/>
  <c r="J492" i="4" s="1"/>
  <c r="R492" i="4" s="1"/>
  <c r="S492" i="4" s="1"/>
  <c r="L492" i="4" s="1"/>
  <c r="O491" i="4" a="1"/>
  <c r="O491" i="4" s="1"/>
  <c r="T491" i="4" s="1"/>
  <c r="U491" i="4" s="1"/>
  <c r="Q491" i="4" s="1"/>
  <c r="O490" i="4" a="1"/>
  <c r="O490" i="4" s="1"/>
  <c r="T490" i="4" s="1"/>
  <c r="U490" i="4" s="1"/>
  <c r="Q490" i="4" s="1"/>
  <c r="J490" i="4" a="1"/>
  <c r="J490" i="4" s="1"/>
  <c r="R490" i="4" s="1"/>
  <c r="S490" i="4" s="1"/>
  <c r="L490" i="4" s="1"/>
  <c r="O489" i="4" a="1"/>
  <c r="O489" i="4" s="1"/>
  <c r="T489" i="4" s="1"/>
  <c r="U489" i="4" s="1"/>
  <c r="Q489" i="4" s="1"/>
  <c r="J489" i="4" a="1"/>
  <c r="J489" i="4" s="1"/>
  <c r="R489" i="4" s="1"/>
  <c r="S489" i="4" s="1"/>
  <c r="L489" i="4" s="1"/>
  <c r="O488" i="4" a="1"/>
  <c r="O488" i="4" s="1"/>
  <c r="T488" i="4" s="1"/>
  <c r="U488" i="4" s="1"/>
  <c r="Q488" i="4" s="1"/>
  <c r="O487" i="4" a="1"/>
  <c r="O487" i="4" s="1"/>
  <c r="T487" i="4" s="1"/>
  <c r="U487" i="4" s="1"/>
  <c r="Q487" i="4" s="1"/>
  <c r="J487" i="4" a="1"/>
  <c r="J487" i="4" s="1"/>
  <c r="R487" i="4" s="1"/>
  <c r="S487" i="4" s="1"/>
  <c r="L487" i="4" s="1"/>
  <c r="O486" i="4" a="1"/>
  <c r="O486" i="4" s="1"/>
  <c r="T486" i="4" s="1"/>
  <c r="U486" i="4" s="1"/>
  <c r="Q486" i="4" s="1"/>
  <c r="J486" i="4" a="1"/>
  <c r="J486" i="4" s="1"/>
  <c r="R486" i="4" s="1"/>
  <c r="S486" i="4" s="1"/>
  <c r="L486" i="4" s="1"/>
  <c r="O485" i="4" a="1"/>
  <c r="O485" i="4" s="1"/>
  <c r="T485" i="4" s="1"/>
  <c r="U485" i="4" s="1"/>
  <c r="Q485" i="4" s="1"/>
  <c r="J485" i="4" a="1"/>
  <c r="J485" i="4" s="1"/>
  <c r="R485" i="4" s="1"/>
  <c r="S485" i="4" s="1"/>
  <c r="L485" i="4" s="1"/>
  <c r="O484" i="4" a="1"/>
  <c r="O484" i="4" s="1"/>
  <c r="T484" i="4" s="1"/>
  <c r="U484" i="4" s="1"/>
  <c r="Q484" i="4" s="1"/>
  <c r="J484" i="4" a="1"/>
  <c r="J484" i="4" s="1"/>
  <c r="R484" i="4" s="1"/>
  <c r="S484" i="4" s="1"/>
  <c r="L484" i="4" s="1"/>
  <c r="O483" i="4" a="1"/>
  <c r="O483" i="4" s="1"/>
  <c r="T483" i="4" s="1"/>
  <c r="U483" i="4" s="1"/>
  <c r="Q483" i="4" s="1"/>
  <c r="J483" i="4" a="1"/>
  <c r="J483" i="4" s="1"/>
  <c r="R483" i="4" s="1"/>
  <c r="S483" i="4" s="1"/>
  <c r="L483" i="4" s="1"/>
  <c r="O482" i="4" a="1"/>
  <c r="O482" i="4" s="1"/>
  <c r="T482" i="4" s="1"/>
  <c r="U482" i="4" s="1"/>
  <c r="Q482" i="4" s="1"/>
  <c r="J482" i="4" a="1"/>
  <c r="J482" i="4" s="1"/>
  <c r="R482" i="4" s="1"/>
  <c r="S482" i="4" s="1"/>
  <c r="L482" i="4" s="1"/>
  <c r="O481" i="4" a="1"/>
  <c r="O481" i="4" s="1"/>
  <c r="T481" i="4" s="1"/>
  <c r="U481" i="4" s="1"/>
  <c r="Q481" i="4" s="1"/>
  <c r="O480" i="4" a="1"/>
  <c r="O480" i="4" s="1"/>
  <c r="T480" i="4" s="1"/>
  <c r="U480" i="4" s="1"/>
  <c r="Q480" i="4" s="1"/>
  <c r="J480" i="4" a="1"/>
  <c r="J480" i="4" s="1"/>
  <c r="R480" i="4" s="1"/>
  <c r="S480" i="4" s="1"/>
  <c r="L480" i="4" s="1"/>
  <c r="O479" i="4" a="1"/>
  <c r="O479" i="4" s="1"/>
  <c r="T479" i="4" s="1"/>
  <c r="U479" i="4" s="1"/>
  <c r="Q479" i="4" s="1"/>
  <c r="J479" i="4" a="1"/>
  <c r="J479" i="4" s="1"/>
  <c r="R479" i="4" s="1"/>
  <c r="S479" i="4" s="1"/>
  <c r="L479" i="4" s="1"/>
  <c r="O478" i="4" a="1"/>
  <c r="O478" i="4" s="1"/>
  <c r="T478" i="4" s="1"/>
  <c r="U478" i="4" s="1"/>
  <c r="Q478" i="4" s="1"/>
  <c r="J478" i="4" a="1"/>
  <c r="J478" i="4" s="1"/>
  <c r="R478" i="4" s="1"/>
  <c r="S478" i="4" s="1"/>
  <c r="L478" i="4" s="1"/>
  <c r="O477" i="4" a="1"/>
  <c r="O477" i="4" s="1"/>
  <c r="T477" i="4" s="1"/>
  <c r="U477" i="4" s="1"/>
  <c r="Q477" i="4" s="1"/>
  <c r="J477" i="4" a="1"/>
  <c r="J477" i="4" s="1"/>
  <c r="R477" i="4" s="1"/>
  <c r="S477" i="4" s="1"/>
  <c r="L477" i="4" s="1"/>
  <c r="O476" i="4" a="1"/>
  <c r="O476" i="4" s="1"/>
  <c r="T476" i="4" s="1"/>
  <c r="U476" i="4" s="1"/>
  <c r="Q476" i="4" s="1"/>
  <c r="J476" i="4" a="1"/>
  <c r="J476" i="4" s="1"/>
  <c r="R476" i="4" s="1"/>
  <c r="S476" i="4" s="1"/>
  <c r="L476" i="4" s="1"/>
  <c r="O475" i="4" a="1"/>
  <c r="O475" i="4" s="1"/>
  <c r="T475" i="4" s="1"/>
  <c r="U475" i="4" s="1"/>
  <c r="Q475" i="4" s="1"/>
  <c r="J475" i="4" a="1"/>
  <c r="J475" i="4" s="1"/>
  <c r="R475" i="4" s="1"/>
  <c r="S475" i="4" s="1"/>
  <c r="L475" i="4" s="1"/>
  <c r="O474" i="4" a="1"/>
  <c r="O474" i="4" s="1"/>
  <c r="T474" i="4" s="1"/>
  <c r="U474" i="4" s="1"/>
  <c r="Q474" i="4" s="1"/>
  <c r="J474" i="4" a="1"/>
  <c r="J474" i="4" s="1"/>
  <c r="R474" i="4" s="1"/>
  <c r="S474" i="4" s="1"/>
  <c r="L474" i="4" s="1"/>
  <c r="O473" i="4" a="1"/>
  <c r="O473" i="4" s="1"/>
  <c r="T473" i="4" s="1"/>
  <c r="U473" i="4" s="1"/>
  <c r="Q473" i="4" s="1"/>
  <c r="J473" i="4" a="1"/>
  <c r="J473" i="4" s="1"/>
  <c r="R473" i="4" s="1"/>
  <c r="S473" i="4" s="1"/>
  <c r="L473" i="4" s="1"/>
  <c r="O472" i="4" a="1"/>
  <c r="O472" i="4" s="1"/>
  <c r="T472" i="4" s="1"/>
  <c r="U472" i="4" s="1"/>
  <c r="Q472" i="4" s="1"/>
  <c r="J472" i="4" a="1"/>
  <c r="J472" i="4" s="1"/>
  <c r="R472" i="4" s="1"/>
  <c r="S472" i="4" s="1"/>
  <c r="L472" i="4" s="1"/>
  <c r="O745" i="4" a="1"/>
  <c r="O745" i="4" s="1"/>
  <c r="T745" i="4" s="1"/>
  <c r="U745" i="4" s="1"/>
  <c r="Q745" i="4" s="1"/>
  <c r="J745" i="4" a="1"/>
  <c r="J745" i="4" s="1"/>
  <c r="R745" i="4" s="1"/>
  <c r="S745" i="4" s="1"/>
  <c r="L745" i="4" s="1"/>
  <c r="O744" i="4" a="1"/>
  <c r="O744" i="4" s="1"/>
  <c r="T744" i="4" s="1"/>
  <c r="U744" i="4" s="1"/>
  <c r="Q744" i="4" s="1"/>
  <c r="J744" i="4" a="1"/>
  <c r="J744" i="4" s="1"/>
  <c r="R744" i="4" s="1"/>
  <c r="S744" i="4" s="1"/>
  <c r="L744" i="4" s="1"/>
  <c r="O743" i="4" a="1"/>
  <c r="O743" i="4" s="1"/>
  <c r="T743" i="4" s="1"/>
  <c r="U743" i="4" s="1"/>
  <c r="Q743" i="4" s="1"/>
  <c r="J743" i="4" a="1"/>
  <c r="J743" i="4" s="1"/>
  <c r="R743" i="4" s="1"/>
  <c r="S743" i="4" s="1"/>
  <c r="L743" i="4" s="1"/>
  <c r="O742" i="4" a="1"/>
  <c r="O742" i="4" s="1"/>
  <c r="T742" i="4" s="1"/>
  <c r="U742" i="4" s="1"/>
  <c r="Q742" i="4" s="1"/>
  <c r="J742" i="4" a="1"/>
  <c r="J742" i="4" s="1"/>
  <c r="R742" i="4" s="1"/>
  <c r="S742" i="4" s="1"/>
  <c r="L742" i="4" s="1"/>
  <c r="O741" i="4" a="1"/>
  <c r="O741" i="4" s="1"/>
  <c r="T741" i="4" s="1"/>
  <c r="U741" i="4" s="1"/>
  <c r="Q741" i="4" s="1"/>
  <c r="J741" i="4" a="1"/>
  <c r="J741" i="4" s="1"/>
  <c r="R741" i="4" s="1"/>
  <c r="S741" i="4" s="1"/>
  <c r="L741" i="4" s="1"/>
  <c r="O740" i="4" a="1"/>
  <c r="O740" i="4" s="1"/>
  <c r="T740" i="4" s="1"/>
  <c r="U740" i="4" s="1"/>
  <c r="Q740" i="4" s="1"/>
  <c r="J740" i="4" a="1"/>
  <c r="J740" i="4" s="1"/>
  <c r="R740" i="4" s="1"/>
  <c r="S740" i="4" s="1"/>
  <c r="L740" i="4" s="1"/>
  <c r="O619" i="4" a="1"/>
  <c r="O619" i="4" s="1"/>
  <c r="T619" i="4" s="1"/>
  <c r="U619" i="4" s="1"/>
  <c r="Q619" i="4" s="1"/>
  <c r="J619" i="4" a="1"/>
  <c r="J619" i="4" s="1"/>
  <c r="R619" i="4" s="1"/>
  <c r="S619" i="4" s="1"/>
  <c r="L619" i="4" s="1"/>
  <c r="O551" i="4" a="1"/>
  <c r="O551" i="4" s="1"/>
  <c r="T551" i="4" s="1"/>
  <c r="U551" i="4" s="1"/>
  <c r="Q551" i="4" s="1"/>
  <c r="J551" i="4" a="1"/>
  <c r="J551" i="4" s="1"/>
  <c r="R551" i="4" s="1"/>
  <c r="S551" i="4" s="1"/>
  <c r="L551" i="4" s="1"/>
  <c r="O550" i="4" a="1"/>
  <c r="O550" i="4" s="1"/>
  <c r="T550" i="4" s="1"/>
  <c r="U550" i="4" s="1"/>
  <c r="Q550" i="4" s="1"/>
  <c r="J550" i="4" a="1"/>
  <c r="J550" i="4" s="1"/>
  <c r="R550" i="4" s="1"/>
  <c r="S550" i="4" s="1"/>
  <c r="L550" i="4" s="1"/>
  <c r="O549" i="4" a="1"/>
  <c r="O549" i="4" s="1"/>
  <c r="T549" i="4" s="1"/>
  <c r="U549" i="4" s="1"/>
  <c r="Q549" i="4" s="1"/>
  <c r="J549" i="4" a="1"/>
  <c r="J549" i="4" s="1"/>
  <c r="R549" i="4" s="1"/>
  <c r="S549" i="4" s="1"/>
  <c r="L549" i="4" s="1"/>
  <c r="O548" i="4" a="1"/>
  <c r="O548" i="4" s="1"/>
  <c r="T548" i="4" s="1"/>
  <c r="U548" i="4" s="1"/>
  <c r="Q548" i="4" s="1"/>
  <c r="J548" i="4" a="1"/>
  <c r="J548" i="4" s="1"/>
  <c r="R548" i="4" s="1"/>
  <c r="S548" i="4" s="1"/>
  <c r="L548" i="4" s="1"/>
  <c r="O547" i="4" a="1"/>
  <c r="O547" i="4" s="1"/>
  <c r="T547" i="4" s="1"/>
  <c r="U547" i="4" s="1"/>
  <c r="Q547" i="4" s="1"/>
  <c r="J547" i="4" a="1"/>
  <c r="J547" i="4" s="1"/>
  <c r="R547" i="4" s="1"/>
  <c r="S547" i="4" s="1"/>
  <c r="L547" i="4" s="1"/>
  <c r="O546" i="4" a="1"/>
  <c r="O546" i="4" s="1"/>
  <c r="T546" i="4" s="1"/>
  <c r="U546" i="4" s="1"/>
  <c r="Q546" i="4" s="1"/>
  <c r="J546" i="4" a="1"/>
  <c r="J546" i="4" s="1"/>
  <c r="R546" i="4" s="1"/>
  <c r="S546" i="4" s="1"/>
  <c r="L546" i="4" s="1"/>
  <c r="O545" i="4" a="1"/>
  <c r="O545" i="4" s="1"/>
  <c r="T545" i="4" s="1"/>
  <c r="U545" i="4" s="1"/>
  <c r="Q545" i="4" s="1"/>
  <c r="J545" i="4" a="1"/>
  <c r="J545" i="4" s="1"/>
  <c r="R545" i="4" s="1"/>
  <c r="S545" i="4" s="1"/>
  <c r="L545" i="4" s="1"/>
  <c r="O544" i="4" a="1"/>
  <c r="O544" i="4" s="1"/>
  <c r="T544" i="4" s="1"/>
  <c r="U544" i="4" s="1"/>
  <c r="Q544" i="4" s="1"/>
  <c r="J544" i="4" a="1"/>
  <c r="J544" i="4" s="1"/>
  <c r="R544" i="4" s="1"/>
  <c r="S544" i="4" s="1"/>
  <c r="L544" i="4" s="1"/>
  <c r="O543" i="4" a="1"/>
  <c r="O543" i="4" s="1"/>
  <c r="T543" i="4" s="1"/>
  <c r="U543" i="4" s="1"/>
  <c r="Q543" i="4" s="1"/>
  <c r="J543" i="4" a="1"/>
  <c r="J543" i="4" s="1"/>
  <c r="R543" i="4" s="1"/>
  <c r="S543" i="4" s="1"/>
  <c r="L543" i="4" s="1"/>
  <c r="O542" i="4" a="1"/>
  <c r="O542" i="4" s="1"/>
  <c r="T542" i="4" s="1"/>
  <c r="U542" i="4" s="1"/>
  <c r="Q542" i="4" s="1"/>
  <c r="J542" i="4" a="1"/>
  <c r="J542" i="4" s="1"/>
  <c r="R542" i="4" s="1"/>
  <c r="S542" i="4" s="1"/>
  <c r="L542" i="4" s="1"/>
  <c r="O541" i="4" a="1"/>
  <c r="O541" i="4" s="1"/>
  <c r="T541" i="4" s="1"/>
  <c r="U541" i="4" s="1"/>
  <c r="Q541" i="4" s="1"/>
  <c r="O540" i="4" a="1"/>
  <c r="O540" i="4" s="1"/>
  <c r="T540" i="4" s="1"/>
  <c r="U540" i="4" s="1"/>
  <c r="Q540" i="4" s="1"/>
  <c r="J540" i="4" a="1"/>
  <c r="J540" i="4" s="1"/>
  <c r="R540" i="4" s="1"/>
  <c r="S540" i="4" s="1"/>
  <c r="L540" i="4" s="1"/>
  <c r="O539" i="4" a="1"/>
  <c r="O539" i="4" s="1"/>
  <c r="T539" i="4" s="1"/>
  <c r="U539" i="4" s="1"/>
  <c r="Q539" i="4" s="1"/>
  <c r="J539" i="4" a="1"/>
  <c r="J539" i="4" s="1"/>
  <c r="R539" i="4" s="1"/>
  <c r="S539" i="4" s="1"/>
  <c r="L539" i="4" s="1"/>
  <c r="O538" i="4" a="1"/>
  <c r="O538" i="4" s="1"/>
  <c r="T538" i="4" s="1"/>
  <c r="U538" i="4" s="1"/>
  <c r="Q538" i="4" s="1"/>
  <c r="J538" i="4" a="1"/>
  <c r="J538" i="4" s="1"/>
  <c r="R538" i="4" s="1"/>
  <c r="S538" i="4" s="1"/>
  <c r="L538" i="4" s="1"/>
  <c r="O535" i="4" a="1"/>
  <c r="O535" i="4" s="1"/>
  <c r="T535" i="4" s="1"/>
  <c r="U535" i="4" s="1"/>
  <c r="Q535" i="4" s="1"/>
  <c r="J535" i="4" a="1"/>
  <c r="J535" i="4" s="1"/>
  <c r="R535" i="4" s="1"/>
  <c r="S535" i="4" s="1"/>
  <c r="L535" i="4" s="1"/>
  <c r="O534" i="4" a="1"/>
  <c r="O534" i="4" s="1"/>
  <c r="T534" i="4" s="1"/>
  <c r="U534" i="4" s="1"/>
  <c r="Q534" i="4" s="1"/>
  <c r="J534" i="4" a="1"/>
  <c r="J534" i="4" s="1"/>
  <c r="R534" i="4" s="1"/>
  <c r="S534" i="4" s="1"/>
  <c r="L534" i="4" s="1"/>
  <c r="O533" i="4" a="1"/>
  <c r="O533" i="4" s="1"/>
  <c r="T533" i="4" s="1"/>
  <c r="U533" i="4" s="1"/>
  <c r="Q533" i="4" s="1"/>
  <c r="O532" i="4" a="1"/>
  <c r="O532" i="4" s="1"/>
  <c r="T532" i="4" s="1"/>
  <c r="U532" i="4" s="1"/>
  <c r="Q532" i="4" s="1"/>
  <c r="J532" i="4" a="1"/>
  <c r="J532" i="4" s="1"/>
  <c r="R532" i="4" s="1"/>
  <c r="S532" i="4" s="1"/>
  <c r="L532" i="4" s="1"/>
  <c r="O531" i="4" a="1"/>
  <c r="O531" i="4" s="1"/>
  <c r="T531" i="4" s="1"/>
  <c r="U531" i="4" s="1"/>
  <c r="Q531" i="4" s="1"/>
  <c r="J531" i="4" a="1"/>
  <c r="J531" i="4" s="1"/>
  <c r="R531" i="4" s="1"/>
  <c r="S531" i="4" s="1"/>
  <c r="L531" i="4" s="1"/>
  <c r="O530" i="4" a="1"/>
  <c r="O530" i="4" s="1"/>
  <c r="T530" i="4" s="1"/>
  <c r="U530" i="4" s="1"/>
  <c r="Q530" i="4" s="1"/>
  <c r="J530" i="4" a="1"/>
  <c r="J530" i="4" s="1"/>
  <c r="R530" i="4" s="1"/>
  <c r="S530" i="4" s="1"/>
  <c r="L530" i="4" s="1"/>
  <c r="O529" i="4" a="1"/>
  <c r="O529" i="4" s="1"/>
  <c r="T529" i="4" s="1"/>
  <c r="U529" i="4" s="1"/>
  <c r="Q529" i="4" s="1"/>
  <c r="O528" i="4" a="1"/>
  <c r="O528" i="4" s="1"/>
  <c r="T528" i="4" s="1"/>
  <c r="U528" i="4" s="1"/>
  <c r="Q528" i="4" s="1"/>
  <c r="J528" i="4" a="1"/>
  <c r="J528" i="4" s="1"/>
  <c r="R528" i="4" s="1"/>
  <c r="S528" i="4" s="1"/>
  <c r="L528" i="4" s="1"/>
  <c r="O527" i="4" a="1"/>
  <c r="O527" i="4" s="1"/>
  <c r="T527" i="4" s="1"/>
  <c r="U527" i="4" s="1"/>
  <c r="Q527" i="4" s="1"/>
  <c r="R527" i="4"/>
  <c r="S527" i="4" s="1"/>
  <c r="L527" i="4" s="1"/>
  <c r="O526" i="4" a="1"/>
  <c r="O526" i="4" s="1"/>
  <c r="T526" i="4" s="1"/>
  <c r="U526" i="4" s="1"/>
  <c r="Q526" i="4" s="1"/>
  <c r="R526" i="4"/>
  <c r="S526" i="4" s="1"/>
  <c r="L526" i="4" s="1"/>
  <c r="J450" i="4" a="1"/>
  <c r="J450" i="4" s="1"/>
  <c r="R450" i="4" s="1"/>
  <c r="S450" i="4" s="1"/>
  <c r="L450" i="4" s="1"/>
  <c r="J449" i="4" a="1"/>
  <c r="J449" i="4" s="1"/>
  <c r="R449" i="4" s="1"/>
  <c r="S449" i="4" s="1"/>
  <c r="L449" i="4" s="1"/>
  <c r="J436" i="4" a="1"/>
  <c r="J436" i="4" s="1"/>
  <c r="R436" i="4" s="1"/>
  <c r="S436" i="4" s="1"/>
  <c r="L436" i="4" s="1"/>
  <c r="O465" i="4" a="1"/>
  <c r="O465" i="4" s="1"/>
  <c r="T465" i="4" s="1"/>
  <c r="U465" i="4" s="1"/>
  <c r="Q465" i="4" s="1"/>
  <c r="J465" i="4" a="1"/>
  <c r="J465" i="4" s="1"/>
  <c r="R465" i="4" s="1"/>
  <c r="S465" i="4" s="1"/>
  <c r="L465" i="4" s="1"/>
  <c r="O464" i="4" a="1"/>
  <c r="O464" i="4" s="1"/>
  <c r="T464" i="4" s="1"/>
  <c r="U464" i="4" s="1"/>
  <c r="Q464" i="4" s="1"/>
  <c r="J464" i="4" a="1"/>
  <c r="J464" i="4" s="1"/>
  <c r="R464" i="4" s="1"/>
  <c r="S464" i="4" s="1"/>
  <c r="L464" i="4" s="1"/>
  <c r="O463" i="4" a="1"/>
  <c r="O463" i="4" s="1"/>
  <c r="T463" i="4" s="1"/>
  <c r="U463" i="4" s="1"/>
  <c r="Q463" i="4" s="1"/>
  <c r="J463" i="4" a="1"/>
  <c r="J463" i="4" s="1"/>
  <c r="R463" i="4" s="1"/>
  <c r="S463" i="4" s="1"/>
  <c r="L463" i="4" s="1"/>
  <c r="O462" i="4" a="1"/>
  <c r="O462" i="4" s="1"/>
  <c r="T462" i="4" s="1"/>
  <c r="U462" i="4" s="1"/>
  <c r="Q462" i="4" s="1"/>
  <c r="J462" i="4" a="1"/>
  <c r="J462" i="4" s="1"/>
  <c r="R462" i="4" s="1"/>
  <c r="S462" i="4" s="1"/>
  <c r="L462" i="4" s="1"/>
  <c r="O461" i="4" a="1"/>
  <c r="O461" i="4" s="1"/>
  <c r="T461" i="4" s="1"/>
  <c r="U461" i="4" s="1"/>
  <c r="Q461" i="4" s="1"/>
  <c r="J461" i="4" a="1"/>
  <c r="J461" i="4" s="1"/>
  <c r="R461" i="4" s="1"/>
  <c r="S461" i="4" s="1"/>
  <c r="L461" i="4" s="1"/>
  <c r="O460" i="4" a="1"/>
  <c r="O460" i="4" s="1"/>
  <c r="T460" i="4" s="1"/>
  <c r="U460" i="4" s="1"/>
  <c r="Q460" i="4" s="1"/>
  <c r="J460" i="4" a="1"/>
  <c r="J460" i="4" s="1"/>
  <c r="R460" i="4" s="1"/>
  <c r="S460" i="4" s="1"/>
  <c r="L460" i="4" s="1"/>
  <c r="O459" i="4" a="1"/>
  <c r="O459" i="4" s="1"/>
  <c r="T459" i="4" s="1"/>
  <c r="U459" i="4" s="1"/>
  <c r="Q459" i="4" s="1"/>
  <c r="J459" i="4" a="1"/>
  <c r="J459" i="4" s="1"/>
  <c r="R459" i="4" s="1"/>
  <c r="S459" i="4" s="1"/>
  <c r="L459" i="4" s="1"/>
  <c r="O458" i="4" a="1"/>
  <c r="O458" i="4" s="1"/>
  <c r="T458" i="4" s="1"/>
  <c r="U458" i="4" s="1"/>
  <c r="Q458" i="4" s="1"/>
  <c r="J458" i="4" a="1"/>
  <c r="J458" i="4" s="1"/>
  <c r="R458" i="4" s="1"/>
  <c r="S458" i="4" s="1"/>
  <c r="L458" i="4" s="1"/>
  <c r="O457" i="4" a="1"/>
  <c r="O457" i="4" s="1"/>
  <c r="T457" i="4" s="1"/>
  <c r="U457" i="4" s="1"/>
  <c r="Q457" i="4" s="1"/>
  <c r="J457" i="4" a="1"/>
  <c r="J457" i="4" s="1"/>
  <c r="R457" i="4" s="1"/>
  <c r="S457" i="4" s="1"/>
  <c r="L457" i="4" s="1"/>
  <c r="O456" i="4" a="1"/>
  <c r="O456" i="4" s="1"/>
  <c r="T456" i="4" s="1"/>
  <c r="U456" i="4" s="1"/>
  <c r="Q456" i="4" s="1"/>
  <c r="J456" i="4" a="1"/>
  <c r="J456" i="4" s="1"/>
  <c r="R456" i="4" s="1"/>
  <c r="S456" i="4" s="1"/>
  <c r="L456" i="4" s="1"/>
  <c r="O455" i="4" a="1"/>
  <c r="O455" i="4" s="1"/>
  <c r="T455" i="4" s="1"/>
  <c r="U455" i="4" s="1"/>
  <c r="Q455" i="4" s="1"/>
  <c r="J455" i="4" a="1"/>
  <c r="J455" i="4" s="1"/>
  <c r="R455" i="4" s="1"/>
  <c r="S455" i="4" s="1"/>
  <c r="L455" i="4" s="1"/>
  <c r="O454" i="4" a="1"/>
  <c r="O454" i="4" s="1"/>
  <c r="T454" i="4" s="1"/>
  <c r="U454" i="4" s="1"/>
  <c r="Q454" i="4" s="1"/>
  <c r="J454" i="4" a="1"/>
  <c r="J454" i="4" s="1"/>
  <c r="R454" i="4" s="1"/>
  <c r="S454" i="4" s="1"/>
  <c r="L454" i="4" s="1"/>
  <c r="O453" i="4" a="1"/>
  <c r="O453" i="4" s="1"/>
  <c r="T453" i="4" s="1"/>
  <c r="U453" i="4" s="1"/>
  <c r="Q453" i="4" s="1"/>
  <c r="J453" i="4" a="1"/>
  <c r="J453" i="4" s="1"/>
  <c r="R453" i="4" s="1"/>
  <c r="S453" i="4" s="1"/>
  <c r="L453" i="4" s="1"/>
  <c r="O516" i="4" a="1"/>
  <c r="O516" i="4" s="1"/>
  <c r="T516" i="4" s="1"/>
  <c r="U516" i="4" s="1"/>
  <c r="Q516" i="4" s="1"/>
  <c r="J516" i="4" a="1"/>
  <c r="J516" i="4" s="1"/>
  <c r="R516" i="4" s="1"/>
  <c r="S516" i="4" s="1"/>
  <c r="L516" i="4" s="1"/>
  <c r="O515" i="4" a="1"/>
  <c r="O515" i="4" s="1"/>
  <c r="T515" i="4" s="1"/>
  <c r="U515" i="4" s="1"/>
  <c r="Q515" i="4" s="1"/>
  <c r="J515" i="4" a="1"/>
  <c r="J515" i="4" s="1"/>
  <c r="R515" i="4" s="1"/>
  <c r="S515" i="4" s="1"/>
  <c r="L515" i="4" s="1"/>
  <c r="O514" i="4" a="1"/>
  <c r="O514" i="4" s="1"/>
  <c r="T514" i="4" s="1"/>
  <c r="U514" i="4" s="1"/>
  <c r="Q514" i="4" s="1"/>
  <c r="J514" i="4" a="1"/>
  <c r="J514" i="4" s="1"/>
  <c r="R514" i="4" s="1"/>
  <c r="S514" i="4" s="1"/>
  <c r="L514" i="4" s="1"/>
  <c r="O513" i="4" a="1"/>
  <c r="O513" i="4" s="1"/>
  <c r="T513" i="4" s="1"/>
  <c r="U513" i="4" s="1"/>
  <c r="Q513" i="4" s="1"/>
  <c r="J513" i="4" a="1"/>
  <c r="J513" i="4" s="1"/>
  <c r="R513" i="4" s="1"/>
  <c r="S513" i="4" s="1"/>
  <c r="L513" i="4" s="1"/>
  <c r="O512" i="4" a="1"/>
  <c r="O512" i="4" s="1"/>
  <c r="T512" i="4" s="1"/>
  <c r="U512" i="4" s="1"/>
  <c r="Q512" i="4" s="1"/>
  <c r="O471" i="4" a="1"/>
  <c r="O471" i="4" s="1"/>
  <c r="T471" i="4" s="1"/>
  <c r="U471" i="4" s="1"/>
  <c r="Q471" i="4" s="1"/>
  <c r="J471" i="4" a="1"/>
  <c r="J471" i="4" s="1"/>
  <c r="R471" i="4" s="1"/>
  <c r="S471" i="4" s="1"/>
  <c r="L471" i="4" s="1"/>
  <c r="O470" i="4" a="1"/>
  <c r="O470" i="4" s="1"/>
  <c r="T470" i="4" s="1"/>
  <c r="U470" i="4" s="1"/>
  <c r="Q470" i="4" s="1"/>
  <c r="J470" i="4" a="1"/>
  <c r="J470" i="4" s="1"/>
  <c r="R470" i="4" s="1"/>
  <c r="S470" i="4" s="1"/>
  <c r="L470" i="4" s="1"/>
  <c r="O469" i="4" a="1"/>
  <c r="O469" i="4" s="1"/>
  <c r="T469" i="4" s="1"/>
  <c r="U469" i="4" s="1"/>
  <c r="Q469" i="4" s="1"/>
  <c r="J469" i="4" a="1"/>
  <c r="J469" i="4" s="1"/>
  <c r="R469" i="4" s="1"/>
  <c r="S469" i="4" s="1"/>
  <c r="L469" i="4" s="1"/>
  <c r="O468" i="4" a="1"/>
  <c r="O468" i="4" s="1"/>
  <c r="T468" i="4" s="1"/>
  <c r="U468" i="4" s="1"/>
  <c r="Q468" i="4" s="1"/>
  <c r="J468" i="4" a="1"/>
  <c r="J468" i="4" s="1"/>
  <c r="R468" i="4" s="1"/>
  <c r="S468" i="4" s="1"/>
  <c r="L468" i="4" s="1"/>
  <c r="O467" i="4" a="1"/>
  <c r="O467" i="4" s="1"/>
  <c r="T467" i="4" s="1"/>
  <c r="U467" i="4" s="1"/>
  <c r="Q467" i="4" s="1"/>
  <c r="J467" i="4" a="1"/>
  <c r="J467" i="4" s="1"/>
  <c r="R467" i="4" s="1"/>
  <c r="S467" i="4" s="1"/>
  <c r="L467" i="4" s="1"/>
  <c r="O466" i="4" a="1"/>
  <c r="O466" i="4" s="1"/>
  <c r="T466" i="4" s="1"/>
  <c r="U466" i="4" s="1"/>
  <c r="Q466" i="4" s="1"/>
  <c r="J466" i="4" a="1"/>
  <c r="J466" i="4" s="1"/>
  <c r="R466" i="4" s="1"/>
  <c r="S466" i="4" s="1"/>
  <c r="L466" i="4" s="1"/>
  <c r="J425" i="4" a="1"/>
  <c r="J425" i="4" s="1"/>
  <c r="R425" i="4" s="1"/>
  <c r="S425" i="4" s="1"/>
  <c r="L425" i="4" s="1"/>
  <c r="J421" i="4" a="1"/>
  <c r="J421" i="4" s="1"/>
  <c r="R421" i="4" s="1"/>
  <c r="S421" i="4" s="1"/>
  <c r="L421" i="4" s="1"/>
  <c r="J417" i="4" a="1"/>
  <c r="J417" i="4" s="1"/>
  <c r="R417" i="4" s="1"/>
  <c r="S417" i="4" s="1"/>
  <c r="L417" i="4" s="1"/>
  <c r="J415" i="4" a="1"/>
  <c r="J415" i="4" s="1"/>
  <c r="R415" i="4" s="1"/>
  <c r="S415" i="4" s="1"/>
  <c r="L415" i="4" s="1"/>
  <c r="J410" i="4" a="1"/>
  <c r="J410" i="4" s="1"/>
  <c r="R410" i="4" s="1"/>
  <c r="S410" i="4" s="1"/>
  <c r="L410" i="4" s="1"/>
  <c r="J407" i="4" a="1"/>
  <c r="J407" i="4" s="1"/>
  <c r="R407" i="4" s="1"/>
  <c r="S407" i="4" s="1"/>
  <c r="L407" i="4" s="1"/>
  <c r="J404" i="4" a="1"/>
  <c r="J404" i="4" s="1"/>
  <c r="R404" i="4" s="1"/>
  <c r="S404" i="4" s="1"/>
  <c r="L404" i="4" s="1"/>
  <c r="J402" i="4" a="1"/>
  <c r="J402" i="4" s="1"/>
  <c r="R402" i="4" s="1"/>
  <c r="S402" i="4" s="1"/>
  <c r="L402" i="4" s="1"/>
  <c r="J391" i="4" a="1"/>
  <c r="J391" i="4" s="1"/>
  <c r="R391" i="4" s="1"/>
  <c r="S391" i="4" s="1"/>
  <c r="L391" i="4" s="1"/>
  <c r="J388" i="4" a="1"/>
  <c r="J388" i="4" s="1"/>
  <c r="R388" i="4" s="1"/>
  <c r="S388" i="4" s="1"/>
  <c r="L388" i="4" s="1"/>
  <c r="J372" i="4" a="1"/>
  <c r="J372" i="4" s="1"/>
  <c r="J370" i="4" a="1"/>
  <c r="J370" i="4" s="1"/>
  <c r="J367" i="4" a="1"/>
  <c r="J367" i="4" s="1"/>
  <c r="J365" i="4" a="1"/>
  <c r="J365" i="4" s="1"/>
  <c r="J363" i="4" a="1"/>
  <c r="J363" i="4" s="1"/>
  <c r="J361" i="4" a="1"/>
  <c r="J361" i="4" s="1"/>
  <c r="J359" i="4" a="1"/>
  <c r="J359" i="4" s="1"/>
  <c r="J353" i="4" a="1"/>
  <c r="J353" i="4" s="1"/>
  <c r="J351" i="4" a="1"/>
  <c r="J351" i="4" s="1"/>
  <c r="J346" i="4" a="1"/>
  <c r="J346" i="4" s="1"/>
  <c r="J335" i="4" a="1"/>
  <c r="J335" i="4" s="1"/>
  <c r="J333" i="4" a="1"/>
  <c r="J333" i="4" s="1"/>
  <c r="O440" i="4" a="1"/>
  <c r="O440" i="4" s="1"/>
  <c r="T440" i="4" s="1"/>
  <c r="U440" i="4" s="1"/>
  <c r="Q440" i="4" s="1"/>
  <c r="J440" i="4" a="1"/>
  <c r="J440" i="4" s="1"/>
  <c r="R440" i="4" s="1"/>
  <c r="S440" i="4" s="1"/>
  <c r="L440" i="4" s="1"/>
  <c r="O405" i="4" a="1"/>
  <c r="O405" i="4" s="1"/>
  <c r="T405" i="4" s="1"/>
  <c r="U405" i="4" s="1"/>
  <c r="Q405" i="4" s="1"/>
  <c r="J405" i="4" a="1"/>
  <c r="J405" i="4" s="1"/>
  <c r="R405" i="4" s="1"/>
  <c r="S405" i="4" s="1"/>
  <c r="L405" i="4" s="1"/>
  <c r="O396" i="4" a="1"/>
  <c r="O396" i="4" s="1"/>
  <c r="T396" i="4" s="1"/>
  <c r="U396" i="4" s="1"/>
  <c r="Q396" i="4" s="1"/>
  <c r="J396" i="4" a="1"/>
  <c r="J396" i="4" s="1"/>
  <c r="R396" i="4" s="1"/>
  <c r="S396" i="4" s="1"/>
  <c r="L396" i="4" s="1"/>
  <c r="O436" i="4" a="1"/>
  <c r="O436" i="4" s="1"/>
  <c r="T436" i="4" s="1"/>
  <c r="U436" i="4" s="1"/>
  <c r="Q436" i="4" s="1"/>
  <c r="O435" i="4" a="1"/>
  <c r="O435" i="4" s="1"/>
  <c r="T435" i="4" s="1"/>
  <c r="U435" i="4" s="1"/>
  <c r="Q435" i="4" s="1"/>
  <c r="J435" i="4" a="1"/>
  <c r="J435" i="4" s="1"/>
  <c r="R435" i="4" s="1"/>
  <c r="S435" i="4" s="1"/>
  <c r="L435" i="4" s="1"/>
  <c r="O434" i="4" a="1"/>
  <c r="O434" i="4" s="1"/>
  <c r="T434" i="4" s="1"/>
  <c r="U434" i="4" s="1"/>
  <c r="Q434" i="4" s="1"/>
  <c r="J434" i="4" a="1"/>
  <c r="J434" i="4" s="1"/>
  <c r="R434" i="4" s="1"/>
  <c r="S434" i="4" s="1"/>
  <c r="L434" i="4" s="1"/>
  <c r="O433" i="4" a="1"/>
  <c r="O433" i="4" s="1"/>
  <c r="T433" i="4" s="1"/>
  <c r="U433" i="4" s="1"/>
  <c r="Q433" i="4" s="1"/>
  <c r="J433" i="4" a="1"/>
  <c r="J433" i="4" s="1"/>
  <c r="R433" i="4" s="1"/>
  <c r="S433" i="4" s="1"/>
  <c r="L433" i="4" s="1"/>
  <c r="O432" i="4" a="1"/>
  <c r="O432" i="4" s="1"/>
  <c r="T432" i="4" s="1"/>
  <c r="U432" i="4" s="1"/>
  <c r="Q432" i="4" s="1"/>
  <c r="J432" i="4" a="1"/>
  <c r="J432" i="4" s="1"/>
  <c r="R432" i="4" s="1"/>
  <c r="S432" i="4" s="1"/>
  <c r="L432" i="4" s="1"/>
  <c r="O431" i="4" a="1"/>
  <c r="O431" i="4" s="1"/>
  <c r="T431" i="4" s="1"/>
  <c r="U431" i="4" s="1"/>
  <c r="Q431" i="4" s="1"/>
  <c r="J431" i="4" a="1"/>
  <c r="J431" i="4" s="1"/>
  <c r="R431" i="4" s="1"/>
  <c r="S431" i="4" s="1"/>
  <c r="L431" i="4" s="1"/>
  <c r="O430" i="4" a="1"/>
  <c r="O430" i="4" s="1"/>
  <c r="T430" i="4" s="1"/>
  <c r="U430" i="4" s="1"/>
  <c r="Q430" i="4" s="1"/>
  <c r="J430" i="4" a="1"/>
  <c r="J430" i="4" s="1"/>
  <c r="R430" i="4" s="1"/>
  <c r="S430" i="4" s="1"/>
  <c r="L430" i="4" s="1"/>
  <c r="O429" i="4" a="1"/>
  <c r="O429" i="4" s="1"/>
  <c r="T429" i="4" s="1"/>
  <c r="U429" i="4" s="1"/>
  <c r="Q429" i="4" s="1"/>
  <c r="J429" i="4" a="1"/>
  <c r="J429" i="4" s="1"/>
  <c r="R429" i="4" s="1"/>
  <c r="S429" i="4" s="1"/>
  <c r="L429" i="4" s="1"/>
  <c r="O428" i="4" a="1"/>
  <c r="O428" i="4" s="1"/>
  <c r="T428" i="4" s="1"/>
  <c r="U428" i="4" s="1"/>
  <c r="Q428" i="4" s="1"/>
  <c r="J428" i="4" a="1"/>
  <c r="J428" i="4" s="1"/>
  <c r="R428" i="4" s="1"/>
  <c r="S428" i="4" s="1"/>
  <c r="L428" i="4" s="1"/>
  <c r="O427" i="4" a="1"/>
  <c r="O427" i="4" s="1"/>
  <c r="T427" i="4" s="1"/>
  <c r="U427" i="4" s="1"/>
  <c r="Q427" i="4" s="1"/>
  <c r="J427" i="4" a="1"/>
  <c r="J427" i="4" s="1"/>
  <c r="R427" i="4" s="1"/>
  <c r="S427" i="4" s="1"/>
  <c r="L427" i="4" s="1"/>
  <c r="O426" i="4" a="1"/>
  <c r="O426" i="4" s="1"/>
  <c r="T426" i="4" s="1"/>
  <c r="U426" i="4" s="1"/>
  <c r="Q426" i="4" s="1"/>
  <c r="J426" i="4" a="1"/>
  <c r="J426" i="4" s="1"/>
  <c r="R426" i="4" s="1"/>
  <c r="S426" i="4" s="1"/>
  <c r="L426" i="4" s="1"/>
  <c r="O425" i="4" a="1"/>
  <c r="O425" i="4" s="1"/>
  <c r="T425" i="4" s="1"/>
  <c r="U425" i="4" s="1"/>
  <c r="Q425" i="4" s="1"/>
  <c r="O424" i="4" a="1"/>
  <c r="O424" i="4" s="1"/>
  <c r="T424" i="4" s="1"/>
  <c r="U424" i="4" s="1"/>
  <c r="Q424" i="4" s="1"/>
  <c r="J424" i="4" a="1"/>
  <c r="J424" i="4" s="1"/>
  <c r="R424" i="4" s="1"/>
  <c r="S424" i="4" s="1"/>
  <c r="L424" i="4" s="1"/>
  <c r="O423" i="4" a="1"/>
  <c r="O423" i="4" s="1"/>
  <c r="T423" i="4" s="1"/>
  <c r="U423" i="4" s="1"/>
  <c r="Q423" i="4" s="1"/>
  <c r="J423" i="4" a="1"/>
  <c r="J423" i="4" s="1"/>
  <c r="R423" i="4" s="1"/>
  <c r="S423" i="4" s="1"/>
  <c r="L423" i="4" s="1"/>
  <c r="O422" i="4" a="1"/>
  <c r="O422" i="4" s="1"/>
  <c r="T422" i="4" s="1"/>
  <c r="U422" i="4" s="1"/>
  <c r="Q422" i="4" s="1"/>
  <c r="J422" i="4" a="1"/>
  <c r="J422" i="4" s="1"/>
  <c r="R422" i="4" s="1"/>
  <c r="S422" i="4" s="1"/>
  <c r="L422" i="4" s="1"/>
  <c r="O421" i="4" a="1"/>
  <c r="O421" i="4" s="1"/>
  <c r="T421" i="4" s="1"/>
  <c r="U421" i="4" s="1"/>
  <c r="Q421" i="4" s="1"/>
  <c r="O420" i="4" a="1"/>
  <c r="O420" i="4" s="1"/>
  <c r="T420" i="4" s="1"/>
  <c r="U420" i="4" s="1"/>
  <c r="Q420" i="4" s="1"/>
  <c r="J420" i="4" a="1"/>
  <c r="J420" i="4" s="1"/>
  <c r="R420" i="4" s="1"/>
  <c r="S420" i="4" s="1"/>
  <c r="L420" i="4" s="1"/>
  <c r="O419" i="4" a="1"/>
  <c r="O419" i="4" s="1"/>
  <c r="T419" i="4" s="1"/>
  <c r="U419" i="4" s="1"/>
  <c r="Q419" i="4" s="1"/>
  <c r="J419" i="4" a="1"/>
  <c r="J419" i="4" s="1"/>
  <c r="R419" i="4" s="1"/>
  <c r="S419" i="4" s="1"/>
  <c r="L419" i="4" s="1"/>
  <c r="O418" i="4" a="1"/>
  <c r="O418" i="4" s="1"/>
  <c r="T418" i="4" s="1"/>
  <c r="U418" i="4" s="1"/>
  <c r="Q418" i="4" s="1"/>
  <c r="J418" i="4" a="1"/>
  <c r="J418" i="4" s="1"/>
  <c r="R418" i="4" s="1"/>
  <c r="S418" i="4" s="1"/>
  <c r="L418" i="4" s="1"/>
  <c r="O417" i="4" a="1"/>
  <c r="O417" i="4" s="1"/>
  <c r="T417" i="4" s="1"/>
  <c r="U417" i="4" s="1"/>
  <c r="Q417" i="4" s="1"/>
  <c r="O416" i="4" a="1"/>
  <c r="O416" i="4" s="1"/>
  <c r="T416" i="4" s="1"/>
  <c r="U416" i="4" s="1"/>
  <c r="Q416" i="4" s="1"/>
  <c r="J416" i="4" a="1"/>
  <c r="J416" i="4" s="1"/>
  <c r="R416" i="4" s="1"/>
  <c r="S416" i="4" s="1"/>
  <c r="L416" i="4" s="1"/>
  <c r="O415" i="4" a="1"/>
  <c r="O415" i="4" s="1"/>
  <c r="T415" i="4" s="1"/>
  <c r="U415" i="4" s="1"/>
  <c r="Q415" i="4" s="1"/>
  <c r="O414" i="4" a="1"/>
  <c r="O414" i="4" s="1"/>
  <c r="T414" i="4" s="1"/>
  <c r="U414" i="4" s="1"/>
  <c r="Q414" i="4" s="1"/>
  <c r="J414" i="4" a="1"/>
  <c r="J414" i="4" s="1"/>
  <c r="R414" i="4" s="1"/>
  <c r="S414" i="4" s="1"/>
  <c r="L414" i="4" s="1"/>
  <c r="O413" i="4" a="1"/>
  <c r="O413" i="4" s="1"/>
  <c r="T413" i="4" s="1"/>
  <c r="U413" i="4" s="1"/>
  <c r="Q413" i="4" s="1"/>
  <c r="J413" i="4" a="1"/>
  <c r="J413" i="4" s="1"/>
  <c r="R413" i="4" s="1"/>
  <c r="S413" i="4" s="1"/>
  <c r="L413" i="4" s="1"/>
  <c r="O412" i="4" a="1"/>
  <c r="O412" i="4" s="1"/>
  <c r="T412" i="4" s="1"/>
  <c r="U412" i="4" s="1"/>
  <c r="Q412" i="4" s="1"/>
  <c r="J412" i="4" a="1"/>
  <c r="J412" i="4" s="1"/>
  <c r="R412" i="4" s="1"/>
  <c r="S412" i="4" s="1"/>
  <c r="L412" i="4" s="1"/>
  <c r="O411" i="4" a="1"/>
  <c r="O411" i="4" s="1"/>
  <c r="T411" i="4" s="1"/>
  <c r="U411" i="4" s="1"/>
  <c r="Q411" i="4" s="1"/>
  <c r="J411" i="4" a="1"/>
  <c r="J411" i="4" s="1"/>
  <c r="R411" i="4" s="1"/>
  <c r="S411" i="4" s="1"/>
  <c r="L411" i="4" s="1"/>
  <c r="O410" i="4" a="1"/>
  <c r="O410" i="4" s="1"/>
  <c r="T410" i="4" s="1"/>
  <c r="U410" i="4" s="1"/>
  <c r="Q410" i="4" s="1"/>
  <c r="O409" i="4" a="1"/>
  <c r="O409" i="4" s="1"/>
  <c r="T409" i="4" s="1"/>
  <c r="U409" i="4" s="1"/>
  <c r="Q409" i="4" s="1"/>
  <c r="J409" i="4" a="1"/>
  <c r="J409" i="4" s="1"/>
  <c r="R409" i="4" s="1"/>
  <c r="S409" i="4" s="1"/>
  <c r="L409" i="4" s="1"/>
  <c r="O408" i="4" a="1"/>
  <c r="O408" i="4" s="1"/>
  <c r="T408" i="4" s="1"/>
  <c r="U408" i="4" s="1"/>
  <c r="Q408" i="4" s="1"/>
  <c r="J408" i="4" a="1"/>
  <c r="J408" i="4" s="1"/>
  <c r="R408" i="4" s="1"/>
  <c r="S408" i="4" s="1"/>
  <c r="L408" i="4" s="1"/>
  <c r="O407" i="4" a="1"/>
  <c r="O407" i="4" s="1"/>
  <c r="T407" i="4" s="1"/>
  <c r="U407" i="4" s="1"/>
  <c r="Q407" i="4" s="1"/>
  <c r="O406" i="4" a="1"/>
  <c r="O406" i="4" s="1"/>
  <c r="T406" i="4" s="1"/>
  <c r="U406" i="4" s="1"/>
  <c r="Q406" i="4" s="1"/>
  <c r="J406" i="4" a="1"/>
  <c r="J406" i="4" s="1"/>
  <c r="R406" i="4" s="1"/>
  <c r="S406" i="4" s="1"/>
  <c r="L406" i="4" s="1"/>
  <c r="O404" i="4" a="1"/>
  <c r="O404" i="4" s="1"/>
  <c r="T404" i="4" s="1"/>
  <c r="U404" i="4" s="1"/>
  <c r="Q404" i="4" s="1"/>
  <c r="O403" i="4" a="1"/>
  <c r="O403" i="4" s="1"/>
  <c r="T403" i="4" s="1"/>
  <c r="U403" i="4" s="1"/>
  <c r="Q403" i="4" s="1"/>
  <c r="J403" i="4" a="1"/>
  <c r="J403" i="4" s="1"/>
  <c r="R403" i="4" s="1"/>
  <c r="S403" i="4" s="1"/>
  <c r="L403" i="4" s="1"/>
  <c r="O402" i="4" a="1"/>
  <c r="O402" i="4" s="1"/>
  <c r="T402" i="4" s="1"/>
  <c r="U402" i="4" s="1"/>
  <c r="Q402" i="4" s="1"/>
  <c r="O401" i="4" a="1"/>
  <c r="O401" i="4" s="1"/>
  <c r="T401" i="4" s="1"/>
  <c r="U401" i="4" s="1"/>
  <c r="Q401" i="4" s="1"/>
  <c r="J401" i="4" a="1"/>
  <c r="J401" i="4" s="1"/>
  <c r="R401" i="4" s="1"/>
  <c r="S401" i="4" s="1"/>
  <c r="L401" i="4" s="1"/>
  <c r="O400" i="4" a="1"/>
  <c r="O400" i="4" s="1"/>
  <c r="T400" i="4" s="1"/>
  <c r="U400" i="4" s="1"/>
  <c r="Q400" i="4" s="1"/>
  <c r="J400" i="4" a="1"/>
  <c r="J400" i="4" s="1"/>
  <c r="R400" i="4" s="1"/>
  <c r="S400" i="4" s="1"/>
  <c r="L400" i="4" s="1"/>
  <c r="O399" i="4" a="1"/>
  <c r="O399" i="4" s="1"/>
  <c r="T399" i="4" s="1"/>
  <c r="U399" i="4" s="1"/>
  <c r="Q399" i="4" s="1"/>
  <c r="J399" i="4" a="1"/>
  <c r="J399" i="4" s="1"/>
  <c r="R399" i="4" s="1"/>
  <c r="S399" i="4" s="1"/>
  <c r="L399" i="4" s="1"/>
  <c r="O398" i="4" a="1"/>
  <c r="O398" i="4" s="1"/>
  <c r="T398" i="4" s="1"/>
  <c r="U398" i="4" s="1"/>
  <c r="Q398" i="4" s="1"/>
  <c r="J398" i="4" a="1"/>
  <c r="J398" i="4" s="1"/>
  <c r="R398" i="4" s="1"/>
  <c r="S398" i="4" s="1"/>
  <c r="L398" i="4" s="1"/>
  <c r="O397" i="4" a="1"/>
  <c r="O397" i="4" s="1"/>
  <c r="T397" i="4" s="1"/>
  <c r="U397" i="4" s="1"/>
  <c r="Q397" i="4" s="1"/>
  <c r="J397" i="4" a="1"/>
  <c r="J397" i="4" s="1"/>
  <c r="R397" i="4" s="1"/>
  <c r="S397" i="4" s="1"/>
  <c r="L397" i="4" s="1"/>
  <c r="O395" i="4" a="1"/>
  <c r="O395" i="4" s="1"/>
  <c r="T395" i="4" s="1"/>
  <c r="U395" i="4" s="1"/>
  <c r="Q395" i="4" s="1"/>
  <c r="J395" i="4" a="1"/>
  <c r="J395" i="4" s="1"/>
  <c r="R395" i="4" s="1"/>
  <c r="S395" i="4" s="1"/>
  <c r="L395" i="4" s="1"/>
  <c r="O394" i="4" a="1"/>
  <c r="O394" i="4" s="1"/>
  <c r="T394" i="4" s="1"/>
  <c r="U394" i="4" s="1"/>
  <c r="Q394" i="4" s="1"/>
  <c r="J394" i="4" a="1"/>
  <c r="J394" i="4" s="1"/>
  <c r="R394" i="4" s="1"/>
  <c r="S394" i="4" s="1"/>
  <c r="L394" i="4" s="1"/>
  <c r="O393" i="4" a="1"/>
  <c r="O393" i="4" s="1"/>
  <c r="T393" i="4" s="1"/>
  <c r="U393" i="4" s="1"/>
  <c r="Q393" i="4" s="1"/>
  <c r="J393" i="4" a="1"/>
  <c r="J393" i="4" s="1"/>
  <c r="R393" i="4" s="1"/>
  <c r="S393" i="4" s="1"/>
  <c r="L393" i="4" s="1"/>
  <c r="O392" i="4" a="1"/>
  <c r="O392" i="4" s="1"/>
  <c r="T392" i="4" s="1"/>
  <c r="U392" i="4" s="1"/>
  <c r="Q392" i="4" s="1"/>
  <c r="J392" i="4" a="1"/>
  <c r="J392" i="4" s="1"/>
  <c r="R392" i="4" s="1"/>
  <c r="S392" i="4" s="1"/>
  <c r="L392" i="4" s="1"/>
  <c r="O391" i="4" a="1"/>
  <c r="O391" i="4" s="1"/>
  <c r="T391" i="4" s="1"/>
  <c r="U391" i="4" s="1"/>
  <c r="Q391" i="4" s="1"/>
  <c r="O390" i="4" a="1"/>
  <c r="O390" i="4" s="1"/>
  <c r="T390" i="4" s="1"/>
  <c r="U390" i="4" s="1"/>
  <c r="Q390" i="4" s="1"/>
  <c r="J390" i="4" a="1"/>
  <c r="J390" i="4" s="1"/>
  <c r="R390" i="4" s="1"/>
  <c r="S390" i="4" s="1"/>
  <c r="L390" i="4" s="1"/>
  <c r="O389" i="4" a="1"/>
  <c r="O389" i="4" s="1"/>
  <c r="T389" i="4" s="1"/>
  <c r="U389" i="4" s="1"/>
  <c r="Q389" i="4" s="1"/>
  <c r="J389" i="4" a="1"/>
  <c r="J389" i="4" s="1"/>
  <c r="R389" i="4" s="1"/>
  <c r="S389" i="4" s="1"/>
  <c r="L389" i="4" s="1"/>
  <c r="O388" i="4" a="1"/>
  <c r="O388" i="4" s="1"/>
  <c r="T388" i="4" s="1"/>
  <c r="U388" i="4" s="1"/>
  <c r="Q388" i="4" s="1"/>
  <c r="O387" i="4" a="1"/>
  <c r="O387" i="4" s="1"/>
  <c r="T387" i="4" s="1"/>
  <c r="U387" i="4" s="1"/>
  <c r="Q387" i="4" s="1"/>
  <c r="J387" i="4" a="1"/>
  <c r="J387" i="4" s="1"/>
  <c r="R387" i="4" s="1"/>
  <c r="S387" i="4" s="1"/>
  <c r="L387" i="4" s="1"/>
  <c r="O386" i="4" a="1"/>
  <c r="O386" i="4" s="1"/>
  <c r="T386" i="4" s="1"/>
  <c r="U386" i="4" s="1"/>
  <c r="Q386" i="4" s="1"/>
  <c r="J386" i="4" a="1"/>
  <c r="J386" i="4" s="1"/>
  <c r="R386" i="4" s="1"/>
  <c r="S386" i="4" s="1"/>
  <c r="L386" i="4" s="1"/>
  <c r="O385" i="4" a="1"/>
  <c r="O385" i="4" s="1"/>
  <c r="T385" i="4" s="1"/>
  <c r="U385" i="4" s="1"/>
  <c r="Q385" i="4" s="1"/>
  <c r="J385" i="4" a="1"/>
  <c r="J385" i="4" s="1"/>
  <c r="R385" i="4" s="1"/>
  <c r="S385" i="4" s="1"/>
  <c r="L385" i="4" s="1"/>
  <c r="O518" i="4" a="1"/>
  <c r="O518" i="4" s="1"/>
  <c r="T518" i="4" s="1"/>
  <c r="U518" i="4" s="1"/>
  <c r="Q518" i="4" s="1"/>
  <c r="O517" i="4" a="1"/>
  <c r="O517" i="4" s="1"/>
  <c r="T517" i="4" s="1"/>
  <c r="U517" i="4" s="1"/>
  <c r="Q517" i="4" s="1"/>
  <c r="J517" i="4" a="1"/>
  <c r="J517" i="4" s="1"/>
  <c r="R517" i="4" s="1"/>
  <c r="S517" i="4" s="1"/>
  <c r="L517" i="4" s="1"/>
  <c r="O452" i="4" a="1"/>
  <c r="O452" i="4" s="1"/>
  <c r="T452" i="4" s="1"/>
  <c r="U452" i="4" s="1"/>
  <c r="Q452" i="4" s="1"/>
  <c r="J452" i="4" a="1"/>
  <c r="J452" i="4" s="1"/>
  <c r="R452" i="4" s="1"/>
  <c r="S452" i="4" s="1"/>
  <c r="L452" i="4" s="1"/>
  <c r="O451" i="4" a="1"/>
  <c r="O451" i="4" s="1"/>
  <c r="T451" i="4" s="1"/>
  <c r="U451" i="4" s="1"/>
  <c r="Q451" i="4" s="1"/>
  <c r="J451" i="4" a="1"/>
  <c r="J451" i="4" s="1"/>
  <c r="R451" i="4" s="1"/>
  <c r="S451" i="4" s="1"/>
  <c r="L451" i="4" s="1"/>
  <c r="O450" i="4" a="1"/>
  <c r="O450" i="4" s="1"/>
  <c r="T450" i="4" s="1"/>
  <c r="U450" i="4" s="1"/>
  <c r="Q450" i="4" s="1"/>
  <c r="O449" i="4" a="1"/>
  <c r="O449" i="4" s="1"/>
  <c r="T449" i="4" s="1"/>
  <c r="U449" i="4" s="1"/>
  <c r="Q449" i="4" s="1"/>
  <c r="O448" i="4" a="1"/>
  <c r="O448" i="4" s="1"/>
  <c r="T448" i="4" s="1"/>
  <c r="U448" i="4" s="1"/>
  <c r="Q448" i="4" s="1"/>
  <c r="J448" i="4" a="1"/>
  <c r="J448" i="4" s="1"/>
  <c r="R448" i="4" s="1"/>
  <c r="S448" i="4" s="1"/>
  <c r="L448" i="4" s="1"/>
  <c r="O447" i="4" a="1"/>
  <c r="O447" i="4" s="1"/>
  <c r="T447" i="4" s="1"/>
  <c r="U447" i="4" s="1"/>
  <c r="Q447" i="4" s="1"/>
  <c r="J447" i="4" a="1"/>
  <c r="J447" i="4" s="1"/>
  <c r="R447" i="4" s="1"/>
  <c r="S447" i="4" s="1"/>
  <c r="L447" i="4" s="1"/>
  <c r="O446" i="4" a="1"/>
  <c r="O446" i="4" s="1"/>
  <c r="T446" i="4" s="1"/>
  <c r="U446" i="4" s="1"/>
  <c r="Q446" i="4" s="1"/>
  <c r="J446" i="4" a="1"/>
  <c r="J446" i="4" s="1"/>
  <c r="R446" i="4" s="1"/>
  <c r="S446" i="4" s="1"/>
  <c r="L446" i="4" s="1"/>
  <c r="O445" i="4" a="1"/>
  <c r="O445" i="4" s="1"/>
  <c r="T445" i="4" s="1"/>
  <c r="U445" i="4" s="1"/>
  <c r="Q445" i="4" s="1"/>
  <c r="J445" i="4" a="1"/>
  <c r="J445" i="4" s="1"/>
  <c r="R445" i="4" s="1"/>
  <c r="S445" i="4" s="1"/>
  <c r="L445" i="4" s="1"/>
  <c r="O444" i="4" a="1"/>
  <c r="O444" i="4" s="1"/>
  <c r="T444" i="4" s="1"/>
  <c r="U444" i="4" s="1"/>
  <c r="Q444" i="4" s="1"/>
  <c r="J444" i="4" a="1"/>
  <c r="J444" i="4" s="1"/>
  <c r="R444" i="4" s="1"/>
  <c r="S444" i="4" s="1"/>
  <c r="L444" i="4" s="1"/>
  <c r="O443" i="4" a="1"/>
  <c r="O443" i="4" s="1"/>
  <c r="T443" i="4" s="1"/>
  <c r="U443" i="4" s="1"/>
  <c r="Q443" i="4" s="1"/>
  <c r="J443" i="4" a="1"/>
  <c r="J443" i="4" s="1"/>
  <c r="R443" i="4" s="1"/>
  <c r="S443" i="4" s="1"/>
  <c r="L443" i="4" s="1"/>
  <c r="O442" i="4" a="1"/>
  <c r="O442" i="4" s="1"/>
  <c r="T442" i="4" s="1"/>
  <c r="U442" i="4" s="1"/>
  <c r="Q442" i="4" s="1"/>
  <c r="J442" i="4" a="1"/>
  <c r="J442" i="4" s="1"/>
  <c r="R442" i="4" s="1"/>
  <c r="S442" i="4" s="1"/>
  <c r="L442" i="4" s="1"/>
  <c r="O441" i="4" a="1"/>
  <c r="O441" i="4" s="1"/>
  <c r="T441" i="4" s="1"/>
  <c r="U441" i="4" s="1"/>
  <c r="Q441" i="4" s="1"/>
  <c r="J441" i="4" a="1"/>
  <c r="J441" i="4" s="1"/>
  <c r="R441" i="4" s="1"/>
  <c r="S441" i="4" s="1"/>
  <c r="L441" i="4" s="1"/>
  <c r="O439" i="4" a="1"/>
  <c r="O439" i="4" s="1"/>
  <c r="T439" i="4" s="1"/>
  <c r="U439" i="4" s="1"/>
  <c r="Q439" i="4" s="1"/>
  <c r="J439" i="4" a="1"/>
  <c r="J439" i="4" s="1"/>
  <c r="R439" i="4" s="1"/>
  <c r="S439" i="4" s="1"/>
  <c r="L439" i="4" s="1"/>
  <c r="O438" i="4" a="1"/>
  <c r="O438" i="4" s="1"/>
  <c r="T438" i="4" s="1"/>
  <c r="U438" i="4" s="1"/>
  <c r="Q438" i="4" s="1"/>
  <c r="J438" i="4" a="1"/>
  <c r="J438" i="4" s="1"/>
  <c r="R438" i="4" s="1"/>
  <c r="S438" i="4" s="1"/>
  <c r="L438" i="4" s="1"/>
  <c r="O437" i="4" a="1"/>
  <c r="O437" i="4" s="1"/>
  <c r="T437" i="4" s="1"/>
  <c r="U437" i="4" s="1"/>
  <c r="Q437" i="4" s="1"/>
  <c r="J437" i="4" a="1"/>
  <c r="J437" i="4" s="1"/>
  <c r="R437" i="4" s="1"/>
  <c r="S437" i="4" s="1"/>
  <c r="L437" i="4" s="1"/>
  <c r="O384" i="4" a="1"/>
  <c r="O384" i="4" s="1"/>
  <c r="T384" i="4" s="1"/>
  <c r="U384" i="4" s="1"/>
  <c r="Q384" i="4" s="1"/>
  <c r="J384" i="4" a="1"/>
  <c r="J384" i="4" s="1"/>
  <c r="R384" i="4" s="1"/>
  <c r="S384" i="4" s="1"/>
  <c r="L384" i="4" s="1"/>
  <c r="O383" i="4" a="1"/>
  <c r="O383" i="4" s="1"/>
  <c r="T383" i="4" s="1"/>
  <c r="U383" i="4" s="1"/>
  <c r="Q383" i="4" s="1"/>
  <c r="J383" i="4" a="1"/>
  <c r="J383" i="4" s="1"/>
  <c r="R383" i="4" s="1"/>
  <c r="S383" i="4" s="1"/>
  <c r="L383" i="4" s="1"/>
  <c r="J328" i="4" a="1"/>
  <c r="J328" i="4" s="1"/>
  <c r="J327" i="4" a="1"/>
  <c r="J327" i="4" s="1"/>
  <c r="J326" i="4" a="1"/>
  <c r="J326" i="4" s="1"/>
  <c r="J325" i="4" a="1"/>
  <c r="J325" i="4" s="1"/>
  <c r="J324" i="4" a="1"/>
  <c r="J324" i="4" s="1"/>
  <c r="J321" i="4" a="1"/>
  <c r="J321" i="4" s="1"/>
  <c r="J314" i="4" a="1"/>
  <c r="J314" i="4" s="1"/>
  <c r="J312" i="4" a="1"/>
  <c r="J312" i="4" s="1"/>
  <c r="J310" i="4" a="1"/>
  <c r="J310" i="4" s="1"/>
  <c r="J308" i="4" a="1"/>
  <c r="J308" i="4" s="1"/>
  <c r="J305" i="4" a="1"/>
  <c r="J305" i="4" s="1"/>
  <c r="J300" i="4" a="1"/>
  <c r="J300" i="4" s="1"/>
  <c r="J298" i="4" a="1"/>
  <c r="J298" i="4" s="1"/>
  <c r="J296" i="4" a="1"/>
  <c r="J296" i="4" s="1"/>
  <c r="J292" i="4" a="1"/>
  <c r="J292" i="4" s="1"/>
  <c r="J290" i="4" a="1"/>
  <c r="J290" i="4" s="1"/>
  <c r="J288" i="4" a="1"/>
  <c r="J288" i="4" s="1"/>
  <c r="J247" i="4" a="1"/>
  <c r="J247" i="4" s="1"/>
  <c r="O244" i="4" a="1"/>
  <c r="O244" i="4" s="1"/>
  <c r="J244" i="4" a="1"/>
  <c r="J244" i="4" s="1"/>
  <c r="J62" i="4" a="1"/>
  <c r="J62" i="4" s="1"/>
  <c r="O230" i="4" a="1"/>
  <c r="O230" i="4" s="1"/>
  <c r="T230" i="4" s="1"/>
  <c r="U230" i="4" s="1"/>
  <c r="Q230" i="4" s="1"/>
  <c r="J230" i="4" a="1"/>
  <c r="J230" i="4" s="1"/>
  <c r="R230" i="4" s="1"/>
  <c r="S230" i="4" s="1"/>
  <c r="L230" i="4" s="1"/>
  <c r="J41" i="4" a="1"/>
  <c r="J41" i="4" s="1"/>
  <c r="J220" i="4" l="1" a="1"/>
  <c r="J220" i="4" s="1"/>
  <c r="J221" i="4" a="1"/>
  <c r="J221" i="4" s="1"/>
  <c r="O216" i="4" a="1"/>
  <c r="O216" i="4" s="1"/>
  <c r="O217" i="4" a="1"/>
  <c r="O217" i="4" s="1"/>
  <c r="O218" i="4" a="1"/>
  <c r="O218" i="4" s="1"/>
  <c r="O219" i="4" a="1"/>
  <c r="O219" i="4" s="1"/>
  <c r="O220" i="4" a="1"/>
  <c r="O220" i="4" s="1"/>
  <c r="O221" i="4" a="1"/>
  <c r="O221" i="4" s="1"/>
  <c r="O222" i="4" a="1"/>
  <c r="O222" i="4" s="1"/>
  <c r="O223" i="4" a="1"/>
  <c r="O223" i="4" s="1"/>
  <c r="O224" i="4" a="1"/>
  <c r="O224" i="4" s="1"/>
  <c r="O225" i="4" a="1"/>
  <c r="O225" i="4" s="1"/>
  <c r="O226" i="4" a="1"/>
  <c r="O226" i="4" s="1"/>
  <c r="O227" i="4" a="1"/>
  <c r="O227" i="4" s="1"/>
  <c r="O228" i="4" a="1"/>
  <c r="O228" i="4" s="1"/>
  <c r="O229" i="4" a="1"/>
  <c r="O229" i="4" s="1"/>
  <c r="O231" i="4" a="1"/>
  <c r="O231" i="4" s="1"/>
  <c r="O232" i="4" a="1"/>
  <c r="O232" i="4" s="1"/>
  <c r="O233" i="4" a="1"/>
  <c r="O233" i="4" s="1"/>
  <c r="O234" i="4" a="1"/>
  <c r="O234" i="4" s="1"/>
  <c r="O235" i="4" a="1"/>
  <c r="O235" i="4" s="1"/>
  <c r="O236" i="4" a="1"/>
  <c r="O236" i="4" s="1"/>
  <c r="O237" i="4" a="1"/>
  <c r="O237" i="4" s="1"/>
  <c r="O238" i="4" a="1"/>
  <c r="O238" i="4" s="1"/>
  <c r="O239" i="4" a="1"/>
  <c r="O239" i="4" s="1"/>
  <c r="O240" i="4" a="1"/>
  <c r="O240" i="4" s="1"/>
  <c r="O241" i="4" a="1"/>
  <c r="O241" i="4" s="1"/>
  <c r="O242" i="4" a="1"/>
  <c r="O242" i="4" s="1"/>
  <c r="O243" i="4" a="1"/>
  <c r="O243" i="4" s="1"/>
  <c r="O245" i="4" a="1"/>
  <c r="O245" i="4" s="1"/>
  <c r="O246" i="4" a="1"/>
  <c r="O246" i="4" s="1"/>
  <c r="O247" i="4" a="1"/>
  <c r="O247" i="4" s="1"/>
  <c r="O248" i="4" a="1"/>
  <c r="O248" i="4" s="1"/>
  <c r="O249" i="4" a="1"/>
  <c r="O249" i="4" s="1"/>
  <c r="O250" i="4" a="1"/>
  <c r="O250" i="4" s="1"/>
  <c r="O251" i="4" a="1"/>
  <c r="O251" i="4" s="1"/>
  <c r="O252" i="4" a="1"/>
  <c r="O252" i="4" s="1"/>
  <c r="O253" i="4" a="1"/>
  <c r="O253" i="4" s="1"/>
  <c r="O254" i="4" a="1"/>
  <c r="O254" i="4" s="1"/>
  <c r="O255" i="4" a="1"/>
  <c r="O255" i="4" s="1"/>
  <c r="O256" i="4" a="1"/>
  <c r="O256" i="4" s="1"/>
  <c r="O257" i="4" a="1"/>
  <c r="O257" i="4" s="1"/>
  <c r="O258" i="4" a="1"/>
  <c r="O258" i="4" s="1"/>
  <c r="O259" i="4" a="1"/>
  <c r="O259" i="4" s="1"/>
  <c r="O260" i="4" a="1"/>
  <c r="O260" i="4" s="1"/>
  <c r="O261" i="4" a="1"/>
  <c r="O261" i="4" s="1"/>
  <c r="O262" i="4" a="1"/>
  <c r="O262" i="4" s="1"/>
  <c r="O263" i="4" a="1"/>
  <c r="O263" i="4" s="1"/>
  <c r="O264" i="4" a="1"/>
  <c r="O264" i="4" s="1"/>
  <c r="O265" i="4" a="1"/>
  <c r="O265" i="4" s="1"/>
  <c r="O266" i="4" a="1"/>
  <c r="O266" i="4" s="1"/>
  <c r="O267" i="4" a="1"/>
  <c r="O267" i="4" s="1"/>
  <c r="O268" i="4" a="1"/>
  <c r="O268" i="4" s="1"/>
  <c r="O269" i="4" a="1"/>
  <c r="O269" i="4" s="1"/>
  <c r="O270" i="4" a="1"/>
  <c r="O270" i="4" s="1"/>
  <c r="O271" i="4" a="1"/>
  <c r="O271" i="4" s="1"/>
  <c r="O272" i="4" a="1"/>
  <c r="O272" i="4" s="1"/>
  <c r="O273" i="4" a="1"/>
  <c r="O273" i="4" s="1"/>
  <c r="O274" i="4" a="1"/>
  <c r="O274" i="4" s="1"/>
  <c r="O275" i="4" a="1"/>
  <c r="O275" i="4" s="1"/>
  <c r="O276" i="4" a="1"/>
  <c r="O276" i="4" s="1"/>
  <c r="O277" i="4" a="1"/>
  <c r="O277" i="4" s="1"/>
  <c r="O278" i="4" a="1"/>
  <c r="O278" i="4" s="1"/>
  <c r="O279" i="4" a="1"/>
  <c r="O279" i="4" s="1"/>
  <c r="O280" i="4" a="1"/>
  <c r="O280" i="4" s="1"/>
  <c r="O281" i="4" a="1"/>
  <c r="O281" i="4" s="1"/>
  <c r="O282" i="4" a="1"/>
  <c r="O282" i="4" s="1"/>
  <c r="O283" i="4" a="1"/>
  <c r="O283" i="4" s="1"/>
  <c r="O284" i="4" a="1"/>
  <c r="O284" i="4" s="1"/>
  <c r="O285" i="4" a="1"/>
  <c r="O285" i="4" s="1"/>
  <c r="O286" i="4" a="1"/>
  <c r="O286" i="4" s="1"/>
  <c r="O287" i="4" a="1"/>
  <c r="O287" i="4" s="1"/>
  <c r="O288" i="4" a="1"/>
  <c r="O288" i="4" s="1"/>
  <c r="O289" i="4" a="1"/>
  <c r="O289" i="4" s="1"/>
  <c r="O290" i="4" a="1"/>
  <c r="O290" i="4" s="1"/>
  <c r="O291" i="4" a="1"/>
  <c r="O291" i="4" s="1"/>
  <c r="O292" i="4" a="1"/>
  <c r="O292" i="4" s="1"/>
  <c r="O293" i="4" a="1"/>
  <c r="O293" i="4" s="1"/>
  <c r="O294" i="4" a="1"/>
  <c r="O294" i="4" s="1"/>
  <c r="O295" i="4" a="1"/>
  <c r="O295" i="4" s="1"/>
  <c r="O296" i="4" a="1"/>
  <c r="O296" i="4" s="1"/>
  <c r="O297" i="4" a="1"/>
  <c r="O297" i="4" s="1"/>
  <c r="O298" i="4" a="1"/>
  <c r="O298" i="4" s="1"/>
  <c r="O299" i="4" a="1"/>
  <c r="O299" i="4" s="1"/>
  <c r="O300" i="4" a="1"/>
  <c r="O300" i="4" s="1"/>
  <c r="O301" i="4" a="1"/>
  <c r="O301" i="4" s="1"/>
  <c r="O302" i="4" a="1"/>
  <c r="O302" i="4" s="1"/>
  <c r="O303" i="4" a="1"/>
  <c r="O303" i="4" s="1"/>
  <c r="O304" i="4" a="1"/>
  <c r="O304" i="4" s="1"/>
  <c r="O305" i="4" a="1"/>
  <c r="O305" i="4" s="1"/>
  <c r="O306" i="4" a="1"/>
  <c r="O306" i="4" s="1"/>
  <c r="O307" i="4" a="1"/>
  <c r="O307" i="4" s="1"/>
  <c r="O308" i="4" a="1"/>
  <c r="O308" i="4" s="1"/>
  <c r="O309" i="4" a="1"/>
  <c r="O309" i="4" s="1"/>
  <c r="O310" i="4" a="1"/>
  <c r="O310" i="4" s="1"/>
  <c r="O311" i="4" a="1"/>
  <c r="O311" i="4" s="1"/>
  <c r="O312" i="4" a="1"/>
  <c r="O312" i="4" s="1"/>
  <c r="O313" i="4" a="1"/>
  <c r="O313" i="4" s="1"/>
  <c r="O314" i="4" a="1"/>
  <c r="O314" i="4" s="1"/>
  <c r="O315" i="4" a="1"/>
  <c r="O315" i="4" s="1"/>
  <c r="O316" i="4" a="1"/>
  <c r="O316" i="4" s="1"/>
  <c r="O317" i="4" a="1"/>
  <c r="O317" i="4" s="1"/>
  <c r="O318" i="4" a="1"/>
  <c r="O318" i="4" s="1"/>
  <c r="O319" i="4" a="1"/>
  <c r="O319" i="4" s="1"/>
  <c r="O320" i="4" a="1"/>
  <c r="O320" i="4" s="1"/>
  <c r="O321" i="4" a="1"/>
  <c r="O321" i="4" s="1"/>
  <c r="O322" i="4" a="1"/>
  <c r="O322" i="4" s="1"/>
  <c r="O323" i="4" a="1"/>
  <c r="O323" i="4" s="1"/>
  <c r="O324" i="4" a="1"/>
  <c r="O324" i="4" s="1"/>
  <c r="O325" i="4" a="1"/>
  <c r="O325" i="4" s="1"/>
  <c r="O326" i="4" a="1"/>
  <c r="O326" i="4" s="1"/>
  <c r="O327" i="4" a="1"/>
  <c r="O327" i="4" s="1"/>
  <c r="O328" i="4" a="1"/>
  <c r="O328" i="4" s="1"/>
  <c r="O329" i="4" a="1"/>
  <c r="O329" i="4" s="1"/>
  <c r="O330" i="4" a="1"/>
  <c r="O330" i="4" s="1"/>
  <c r="O331" i="4" a="1"/>
  <c r="O331" i="4" s="1"/>
  <c r="O332" i="4" a="1"/>
  <c r="O332" i="4" s="1"/>
  <c r="O333" i="4" a="1"/>
  <c r="O333" i="4" s="1"/>
  <c r="O334" i="4" a="1"/>
  <c r="O334" i="4" s="1"/>
  <c r="O335" i="4" a="1"/>
  <c r="O335" i="4" s="1"/>
  <c r="O336" i="4" a="1"/>
  <c r="O336" i="4" s="1"/>
  <c r="O337" i="4" a="1"/>
  <c r="O337" i="4" s="1"/>
  <c r="O338" i="4" a="1"/>
  <c r="O338" i="4" s="1"/>
  <c r="O339" i="4" a="1"/>
  <c r="O339" i="4" s="1"/>
  <c r="O340" i="4" a="1"/>
  <c r="O340" i="4" s="1"/>
  <c r="O341" i="4" a="1"/>
  <c r="O341" i="4" s="1"/>
  <c r="O342" i="4" a="1"/>
  <c r="O342" i="4" s="1"/>
  <c r="O343" i="4" a="1"/>
  <c r="O343" i="4" s="1"/>
  <c r="O344" i="4" a="1"/>
  <c r="O344" i="4" s="1"/>
  <c r="O345" i="4" a="1"/>
  <c r="O345" i="4" s="1"/>
  <c r="O346" i="4" a="1"/>
  <c r="O346" i="4" s="1"/>
  <c r="O347" i="4" a="1"/>
  <c r="O347" i="4" s="1"/>
  <c r="O348" i="4" a="1"/>
  <c r="O348" i="4" s="1"/>
  <c r="O349" i="4" a="1"/>
  <c r="O349" i="4" s="1"/>
  <c r="O350" i="4" a="1"/>
  <c r="O350" i="4" s="1"/>
  <c r="O351" i="4" a="1"/>
  <c r="O351" i="4" s="1"/>
  <c r="O352" i="4" a="1"/>
  <c r="O352" i="4" s="1"/>
  <c r="O353" i="4" a="1"/>
  <c r="O353" i="4" s="1"/>
  <c r="O354" i="4" a="1"/>
  <c r="O354" i="4" s="1"/>
  <c r="O355" i="4" a="1"/>
  <c r="O355" i="4" s="1"/>
  <c r="O356" i="4" a="1"/>
  <c r="O356" i="4" s="1"/>
  <c r="O357" i="4" a="1"/>
  <c r="O357" i="4" s="1"/>
  <c r="O358" i="4" a="1"/>
  <c r="O358" i="4" s="1"/>
  <c r="O359" i="4" a="1"/>
  <c r="O359" i="4" s="1"/>
  <c r="O360" i="4" a="1"/>
  <c r="O360" i="4" s="1"/>
  <c r="O361" i="4" a="1"/>
  <c r="O361" i="4" s="1"/>
  <c r="O362" i="4" a="1"/>
  <c r="O362" i="4" s="1"/>
  <c r="O363" i="4" a="1"/>
  <c r="O363" i="4" s="1"/>
  <c r="O364" i="4" a="1"/>
  <c r="O364" i="4" s="1"/>
  <c r="O365" i="4" a="1"/>
  <c r="O365" i="4" s="1"/>
  <c r="O366" i="4" a="1"/>
  <c r="O366" i="4" s="1"/>
  <c r="O367" i="4" a="1"/>
  <c r="O367" i="4" s="1"/>
  <c r="O368" i="4" a="1"/>
  <c r="O368" i="4" s="1"/>
  <c r="O369" i="4" a="1"/>
  <c r="O369" i="4" s="1"/>
  <c r="O370" i="4" a="1"/>
  <c r="O370" i="4" s="1"/>
  <c r="O371" i="4" a="1"/>
  <c r="O371" i="4" s="1"/>
  <c r="O372" i="4" a="1"/>
  <c r="O372" i="4" s="1"/>
  <c r="O373" i="4" a="1"/>
  <c r="O373" i="4" s="1"/>
  <c r="O374" i="4" a="1"/>
  <c r="O374" i="4" s="1"/>
  <c r="O375" i="4" a="1"/>
  <c r="O375" i="4" s="1"/>
  <c r="O376" i="4" a="1"/>
  <c r="O376" i="4" s="1"/>
  <c r="O377" i="4" a="1"/>
  <c r="O377" i="4" s="1"/>
  <c r="O378" i="4" a="1"/>
  <c r="O378" i="4" s="1"/>
  <c r="O379" i="4" a="1"/>
  <c r="O379" i="4" s="1"/>
  <c r="O380" i="4" a="1"/>
  <c r="O380" i="4" s="1"/>
  <c r="O381" i="4" a="1"/>
  <c r="O381" i="4" s="1"/>
  <c r="O382" i="4" a="1"/>
  <c r="O382" i="4" s="1"/>
  <c r="O519" i="4" a="1"/>
  <c r="O519" i="4" s="1"/>
  <c r="O520" i="4" a="1"/>
  <c r="O520" i="4" s="1"/>
  <c r="O521" i="4" a="1"/>
  <c r="O521" i="4" s="1"/>
  <c r="O522" i="4" a="1"/>
  <c r="O522" i="4" s="1"/>
  <c r="O523" i="4" a="1"/>
  <c r="O523" i="4" s="1"/>
  <c r="O524" i="4" a="1"/>
  <c r="O524" i="4" s="1"/>
  <c r="O525" i="4" a="1"/>
  <c r="O525" i="4" s="1"/>
  <c r="O536" i="4" a="1"/>
  <c r="O536" i="4" s="1"/>
  <c r="O537" i="4" a="1"/>
  <c r="O537" i="4" s="1"/>
  <c r="O746" i="4" a="1"/>
  <c r="O746" i="4" s="1"/>
  <c r="O747" i="4" a="1"/>
  <c r="O747" i="4" s="1"/>
  <c r="O748" i="4" a="1"/>
  <c r="O748" i="4" s="1"/>
  <c r="J216" i="4" a="1"/>
  <c r="J216" i="4" s="1"/>
  <c r="J217" i="4" a="1"/>
  <c r="J217" i="4" s="1"/>
  <c r="J218" i="4" a="1"/>
  <c r="J218" i="4" s="1"/>
  <c r="J219" i="4" a="1"/>
  <c r="J219" i="4" s="1"/>
  <c r="J222" i="4" a="1"/>
  <c r="J222" i="4" s="1"/>
  <c r="J223" i="4" a="1"/>
  <c r="J223" i="4" s="1"/>
  <c r="J224" i="4" a="1"/>
  <c r="J224" i="4" s="1"/>
  <c r="J225" i="4" a="1"/>
  <c r="J225" i="4" s="1"/>
  <c r="J226" i="4" a="1"/>
  <c r="J226" i="4" s="1"/>
  <c r="J227" i="4" a="1"/>
  <c r="J227" i="4" s="1"/>
  <c r="J228" i="4" a="1"/>
  <c r="J228" i="4" s="1"/>
  <c r="J229" i="4" a="1"/>
  <c r="J229" i="4" s="1"/>
  <c r="J231" i="4" a="1"/>
  <c r="J231" i="4" s="1"/>
  <c r="J232" i="4" a="1"/>
  <c r="J232" i="4" s="1"/>
  <c r="J233" i="4" a="1"/>
  <c r="J233" i="4" s="1"/>
  <c r="J234" i="4" a="1"/>
  <c r="J234" i="4" s="1"/>
  <c r="J235" i="4" a="1"/>
  <c r="J235" i="4" s="1"/>
  <c r="J236" i="4" a="1"/>
  <c r="J236" i="4" s="1"/>
  <c r="J237" i="4" a="1"/>
  <c r="J237" i="4" s="1"/>
  <c r="J238" i="4" a="1"/>
  <c r="J238" i="4" s="1"/>
  <c r="J239" i="4" a="1"/>
  <c r="J239" i="4" s="1"/>
  <c r="J240" i="4" a="1"/>
  <c r="J240" i="4" s="1"/>
  <c r="J241" i="4" a="1"/>
  <c r="J241" i="4" s="1"/>
  <c r="J242" i="4" a="1"/>
  <c r="J242" i="4" s="1"/>
  <c r="J243" i="4" a="1"/>
  <c r="J243" i="4" s="1"/>
  <c r="J245" i="4" a="1"/>
  <c r="J245" i="4" s="1"/>
  <c r="J246" i="4" a="1"/>
  <c r="J246" i="4" s="1"/>
  <c r="J248" i="4" a="1"/>
  <c r="J248" i="4" s="1"/>
  <c r="J249" i="4" a="1"/>
  <c r="J249" i="4" s="1"/>
  <c r="J250" i="4" a="1"/>
  <c r="J250" i="4" s="1"/>
  <c r="J251" i="4" a="1"/>
  <c r="J251" i="4" s="1"/>
  <c r="J252" i="4" a="1"/>
  <c r="J252" i="4" s="1"/>
  <c r="J253" i="4" a="1"/>
  <c r="J253" i="4" s="1"/>
  <c r="J254" i="4" a="1"/>
  <c r="J254" i="4" s="1"/>
  <c r="J255" i="4" a="1"/>
  <c r="J255" i="4" s="1"/>
  <c r="J256" i="4" a="1"/>
  <c r="J256" i="4" s="1"/>
  <c r="J257" i="4" a="1"/>
  <c r="J257" i="4" s="1"/>
  <c r="J258" i="4" a="1"/>
  <c r="J258" i="4" s="1"/>
  <c r="J259" i="4" a="1"/>
  <c r="J259" i="4" s="1"/>
  <c r="J260" i="4" a="1"/>
  <c r="J260" i="4" s="1"/>
  <c r="J261" i="4" a="1"/>
  <c r="J261" i="4" s="1"/>
  <c r="J262" i="4" a="1"/>
  <c r="J262" i="4" s="1"/>
  <c r="J263" i="4" a="1"/>
  <c r="J263" i="4" s="1"/>
  <c r="J264" i="4" a="1"/>
  <c r="J264" i="4" s="1"/>
  <c r="J265" i="4" a="1"/>
  <c r="J265" i="4" s="1"/>
  <c r="J266" i="4" a="1"/>
  <c r="J266" i="4" s="1"/>
  <c r="J267" i="4" a="1"/>
  <c r="J267" i="4" s="1"/>
  <c r="J268" i="4" a="1"/>
  <c r="J268" i="4" s="1"/>
  <c r="J269" i="4" a="1"/>
  <c r="J269" i="4" s="1"/>
  <c r="J270" i="4" a="1"/>
  <c r="J270" i="4" s="1"/>
  <c r="J271" i="4" a="1"/>
  <c r="J271" i="4" s="1"/>
  <c r="J272" i="4" a="1"/>
  <c r="J272" i="4" s="1"/>
  <c r="J273" i="4" a="1"/>
  <c r="J273" i="4" s="1"/>
  <c r="J274" i="4" a="1"/>
  <c r="J274" i="4" s="1"/>
  <c r="J275" i="4" a="1"/>
  <c r="J275" i="4" s="1"/>
  <c r="J276" i="4" a="1"/>
  <c r="J276" i="4" s="1"/>
  <c r="J277" i="4" a="1"/>
  <c r="J277" i="4" s="1"/>
  <c r="J278" i="4" a="1"/>
  <c r="J278" i="4" s="1"/>
  <c r="J279" i="4" a="1"/>
  <c r="J279" i="4" s="1"/>
  <c r="J280" i="4" a="1"/>
  <c r="J280" i="4" s="1"/>
  <c r="J281" i="4" a="1"/>
  <c r="J281" i="4" s="1"/>
  <c r="J282" i="4" a="1"/>
  <c r="J282" i="4" s="1"/>
  <c r="J283" i="4" a="1"/>
  <c r="J283" i="4" s="1"/>
  <c r="J284" i="4" a="1"/>
  <c r="J284" i="4" s="1"/>
  <c r="J285" i="4" a="1"/>
  <c r="J285" i="4" s="1"/>
  <c r="J286" i="4" a="1"/>
  <c r="J286" i="4" s="1"/>
  <c r="J287" i="4" a="1"/>
  <c r="J287" i="4" s="1"/>
  <c r="J289" i="4" a="1"/>
  <c r="J289" i="4" s="1"/>
  <c r="J291" i="4" a="1"/>
  <c r="J291" i="4" s="1"/>
  <c r="J293" i="4" a="1"/>
  <c r="J293" i="4" s="1"/>
  <c r="J294" i="4" a="1"/>
  <c r="J294" i="4" s="1"/>
  <c r="J295" i="4" a="1"/>
  <c r="J295" i="4" s="1"/>
  <c r="J297" i="4" a="1"/>
  <c r="J297" i="4" s="1"/>
  <c r="J299" i="4" a="1"/>
  <c r="J299" i="4" s="1"/>
  <c r="J301" i="4" a="1"/>
  <c r="J301" i="4" s="1"/>
  <c r="J302" i="4" a="1"/>
  <c r="J302" i="4" s="1"/>
  <c r="J303" i="4" a="1"/>
  <c r="J303" i="4" s="1"/>
  <c r="J304" i="4" a="1"/>
  <c r="J304" i="4" s="1"/>
  <c r="J306" i="4" a="1"/>
  <c r="J306" i="4" s="1"/>
  <c r="J307" i="4" a="1"/>
  <c r="J307" i="4" s="1"/>
  <c r="J309" i="4" a="1"/>
  <c r="J309" i="4" s="1"/>
  <c r="J311" i="4" a="1"/>
  <c r="J311" i="4" s="1"/>
  <c r="J313" i="4" a="1"/>
  <c r="J313" i="4" s="1"/>
  <c r="J315" i="4" a="1"/>
  <c r="J315" i="4" s="1"/>
  <c r="J316" i="4" a="1"/>
  <c r="J316" i="4" s="1"/>
  <c r="J317" i="4" a="1"/>
  <c r="J317" i="4" s="1"/>
  <c r="J318" i="4" a="1"/>
  <c r="J318" i="4" s="1"/>
  <c r="J319" i="4" a="1"/>
  <c r="J319" i="4" s="1"/>
  <c r="J320" i="4" a="1"/>
  <c r="J320" i="4" s="1"/>
  <c r="J322" i="4" a="1"/>
  <c r="J322" i="4" s="1"/>
  <c r="J323" i="4" a="1"/>
  <c r="J323" i="4" s="1"/>
  <c r="J329" i="4" a="1"/>
  <c r="J329" i="4" s="1"/>
  <c r="J330" i="4" a="1"/>
  <c r="J330" i="4" s="1"/>
  <c r="J331" i="4" a="1"/>
  <c r="J331" i="4" s="1"/>
  <c r="J332" i="4" a="1"/>
  <c r="J332" i="4" s="1"/>
  <c r="J334" i="4" a="1"/>
  <c r="J334" i="4" s="1"/>
  <c r="J336" i="4" a="1"/>
  <c r="J336" i="4" s="1"/>
  <c r="J337" i="4" a="1"/>
  <c r="J337" i="4" s="1"/>
  <c r="J338" i="4" a="1"/>
  <c r="J338" i="4" s="1"/>
  <c r="J339" i="4" a="1"/>
  <c r="J339" i="4" s="1"/>
  <c r="J340" i="4" a="1"/>
  <c r="J340" i="4" s="1"/>
  <c r="J341" i="4" a="1"/>
  <c r="J341" i="4" s="1"/>
  <c r="J342" i="4" a="1"/>
  <c r="J342" i="4" s="1"/>
  <c r="J343" i="4" a="1"/>
  <c r="J343" i="4" s="1"/>
  <c r="J344" i="4" a="1"/>
  <c r="J344" i="4" s="1"/>
  <c r="J345" i="4" a="1"/>
  <c r="J345" i="4" s="1"/>
  <c r="J347" i="4" a="1"/>
  <c r="J347" i="4" s="1"/>
  <c r="J348" i="4" a="1"/>
  <c r="J348" i="4" s="1"/>
  <c r="J349" i="4" a="1"/>
  <c r="J349" i="4" s="1"/>
  <c r="J350" i="4" a="1"/>
  <c r="J350" i="4" s="1"/>
  <c r="J352" i="4" a="1"/>
  <c r="J352" i="4" s="1"/>
  <c r="J354" i="4" a="1"/>
  <c r="J354" i="4" s="1"/>
  <c r="J355" i="4" a="1"/>
  <c r="J355" i="4" s="1"/>
  <c r="J356" i="4" a="1"/>
  <c r="J356" i="4" s="1"/>
  <c r="J357" i="4" a="1"/>
  <c r="J357" i="4" s="1"/>
  <c r="J358" i="4" a="1"/>
  <c r="J358" i="4" s="1"/>
  <c r="J360" i="4" a="1"/>
  <c r="J360" i="4" s="1"/>
  <c r="J362" i="4" a="1"/>
  <c r="J362" i="4" s="1"/>
  <c r="J364" i="4" a="1"/>
  <c r="J364" i="4" s="1"/>
  <c r="J366" i="4" a="1"/>
  <c r="J366" i="4" s="1"/>
  <c r="J368" i="4" a="1"/>
  <c r="J368" i="4" s="1"/>
  <c r="J369" i="4" a="1"/>
  <c r="J369" i="4" s="1"/>
  <c r="J371" i="4" a="1"/>
  <c r="J371" i="4" s="1"/>
  <c r="J373" i="4" a="1"/>
  <c r="J373" i="4" s="1"/>
  <c r="J374" i="4" a="1"/>
  <c r="J374" i="4" s="1"/>
  <c r="J375" i="4" a="1"/>
  <c r="J375" i="4" s="1"/>
  <c r="J376" i="4" a="1"/>
  <c r="J376" i="4" s="1"/>
  <c r="J377" i="4" a="1"/>
  <c r="J377" i="4" s="1"/>
  <c r="J378" i="4" a="1"/>
  <c r="J378" i="4" s="1"/>
  <c r="J379" i="4" a="1"/>
  <c r="J379" i="4" s="1"/>
  <c r="J380" i="4" a="1"/>
  <c r="J380" i="4" s="1"/>
  <c r="J381" i="4" a="1"/>
  <c r="J381" i="4" s="1"/>
  <c r="J382" i="4" a="1"/>
  <c r="J382" i="4" s="1"/>
  <c r="J519" i="4" a="1"/>
  <c r="J519" i="4" s="1"/>
  <c r="J520" i="4" a="1"/>
  <c r="J520" i="4" s="1"/>
  <c r="J521" i="4" a="1"/>
  <c r="J521" i="4" s="1"/>
  <c r="J522" i="4" a="1"/>
  <c r="J522" i="4" s="1"/>
  <c r="J523" i="4" a="1"/>
  <c r="J523" i="4" s="1"/>
  <c r="J524" i="4" a="1"/>
  <c r="J524" i="4" s="1"/>
  <c r="J525" i="4" a="1"/>
  <c r="J525" i="4" s="1"/>
  <c r="J536" i="4" a="1"/>
  <c r="J536" i="4" s="1"/>
  <c r="J537" i="4" a="1"/>
  <c r="J537" i="4" s="1"/>
  <c r="J746" i="4" a="1"/>
  <c r="J746" i="4" s="1"/>
  <c r="J747" i="4" a="1"/>
  <c r="J747" i="4" s="1"/>
  <c r="J748" i="4" a="1"/>
  <c r="J748" i="4" s="1"/>
  <c r="J82" i="4" a="1"/>
  <c r="J82" i="4" s="1"/>
  <c r="R82" i="4" s="1"/>
  <c r="S82" i="4" s="1"/>
  <c r="L82" i="4" s="1"/>
  <c r="T82" i="4"/>
  <c r="U82" i="4" s="1"/>
  <c r="Q82" i="4" s="1"/>
  <c r="T79" i="4" l="1"/>
  <c r="U79" i="4" s="1"/>
  <c r="Q79" i="4" s="1"/>
  <c r="J79" i="4" a="1"/>
  <c r="J79" i="4" s="1"/>
  <c r="R79" i="4" s="1"/>
  <c r="S79" i="4" s="1"/>
  <c r="L79" i="4" s="1"/>
  <c r="O75" i="4" l="1" a="1"/>
  <c r="O75" i="4" s="1"/>
  <c r="T75" i="4" s="1"/>
  <c r="U75" i="4" s="1"/>
  <c r="Q75" i="4" s="1"/>
  <c r="R75" i="4"/>
  <c r="S75" i="4" s="1"/>
  <c r="L75" i="4" s="1"/>
  <c r="J7" i="4" a="1"/>
  <c r="J7" i="4" s="1"/>
  <c r="O7" i="4" a="1"/>
  <c r="O7" i="4" s="1"/>
  <c r="J215" i="4" a="1"/>
  <c r="J215" i="4" s="1"/>
  <c r="J214" i="4" a="1"/>
  <c r="J214" i="4" s="1"/>
  <c r="J213" i="4" a="1"/>
  <c r="J213" i="4" s="1"/>
  <c r="J212" i="4" a="1"/>
  <c r="J212" i="4" s="1"/>
  <c r="J211" i="4" a="1"/>
  <c r="J211" i="4" s="1"/>
  <c r="J210" i="4" a="1"/>
  <c r="J210" i="4" s="1"/>
  <c r="J209" i="4" a="1"/>
  <c r="J209" i="4" s="1"/>
  <c r="J208" i="4" a="1"/>
  <c r="J208" i="4" s="1"/>
  <c r="J207" i="4" a="1"/>
  <c r="J207" i="4" s="1"/>
  <c r="J206" i="4" a="1"/>
  <c r="J206" i="4" s="1"/>
  <c r="J205" i="4" a="1"/>
  <c r="J205" i="4" s="1"/>
  <c r="J204" i="4" a="1"/>
  <c r="J204" i="4" s="1"/>
  <c r="J203" i="4" a="1"/>
  <c r="J203" i="4" s="1"/>
  <c r="J202" i="4" a="1"/>
  <c r="J202" i="4" s="1"/>
  <c r="J201" i="4" a="1"/>
  <c r="J201" i="4" s="1"/>
  <c r="J200" i="4" a="1"/>
  <c r="J200" i="4" s="1"/>
  <c r="J199" i="4" a="1"/>
  <c r="J199" i="4" s="1"/>
  <c r="J198" i="4" a="1"/>
  <c r="J198" i="4" s="1"/>
  <c r="J197" i="4" a="1"/>
  <c r="J197" i="4" s="1"/>
  <c r="J196" i="4" a="1"/>
  <c r="J196" i="4" s="1"/>
  <c r="J195" i="4" a="1"/>
  <c r="J195" i="4" s="1"/>
  <c r="J194" i="4" a="1"/>
  <c r="J194" i="4" s="1"/>
  <c r="J193" i="4" a="1"/>
  <c r="J193" i="4" s="1"/>
  <c r="J192" i="4" a="1"/>
  <c r="J192" i="4" s="1"/>
  <c r="J191" i="4" a="1"/>
  <c r="J191" i="4" s="1"/>
  <c r="J190" i="4" a="1"/>
  <c r="J190" i="4" s="1"/>
  <c r="J189" i="4" a="1"/>
  <c r="J189" i="4" s="1"/>
  <c r="J188" i="4" a="1"/>
  <c r="J188" i="4" s="1"/>
  <c r="J187" i="4" a="1"/>
  <c r="J187" i="4" s="1"/>
  <c r="J186" i="4" a="1"/>
  <c r="J186" i="4" s="1"/>
  <c r="J185" i="4" a="1"/>
  <c r="J185" i="4" s="1"/>
  <c r="J184" i="4" a="1"/>
  <c r="J184" i="4" s="1"/>
  <c r="J183" i="4" a="1"/>
  <c r="J183" i="4" s="1"/>
  <c r="J182" i="4" a="1"/>
  <c r="J182" i="4" s="1"/>
  <c r="J181" i="4" a="1"/>
  <c r="J181" i="4" s="1"/>
  <c r="J180" i="4" a="1"/>
  <c r="J180" i="4" s="1"/>
  <c r="J179" i="4" a="1"/>
  <c r="J179" i="4" s="1"/>
  <c r="J178" i="4" a="1"/>
  <c r="J178" i="4" s="1"/>
  <c r="J177" i="4" a="1"/>
  <c r="J177" i="4" s="1"/>
  <c r="J176" i="4" a="1"/>
  <c r="J176" i="4" s="1"/>
  <c r="J175" i="4" a="1"/>
  <c r="J175" i="4" s="1"/>
  <c r="J174" i="4" a="1"/>
  <c r="J174" i="4" s="1"/>
  <c r="J173" i="4" a="1"/>
  <c r="J173" i="4" s="1"/>
  <c r="J172" i="4" a="1"/>
  <c r="J172" i="4" s="1"/>
  <c r="J171" i="4" a="1"/>
  <c r="J171" i="4" s="1"/>
  <c r="J170" i="4" a="1"/>
  <c r="J170" i="4" s="1"/>
  <c r="J169" i="4" a="1"/>
  <c r="J169" i="4" s="1"/>
  <c r="J168" i="4" a="1"/>
  <c r="J168" i="4" s="1"/>
  <c r="J167" i="4" a="1"/>
  <c r="J167" i="4" s="1"/>
  <c r="J166" i="4" a="1"/>
  <c r="J166" i="4" s="1"/>
  <c r="J165" i="4" a="1"/>
  <c r="J165" i="4" s="1"/>
  <c r="J164" i="4" a="1"/>
  <c r="J164" i="4" s="1"/>
  <c r="J163" i="4" a="1"/>
  <c r="J163" i="4" s="1"/>
  <c r="J162" i="4" a="1"/>
  <c r="J162" i="4" s="1"/>
  <c r="J161" i="4" a="1"/>
  <c r="J161" i="4" s="1"/>
  <c r="J160" i="4" a="1"/>
  <c r="J160" i="4" s="1"/>
  <c r="J159" i="4" a="1"/>
  <c r="J159" i="4" s="1"/>
  <c r="J158" i="4" a="1"/>
  <c r="J158" i="4" s="1"/>
  <c r="J157" i="4" a="1"/>
  <c r="J157" i="4" s="1"/>
  <c r="J156" i="4" a="1"/>
  <c r="J156" i="4" s="1"/>
  <c r="J155" i="4" a="1"/>
  <c r="J155" i="4" s="1"/>
  <c r="J154" i="4" a="1"/>
  <c r="J154" i="4" s="1"/>
  <c r="J153" i="4" a="1"/>
  <c r="J153" i="4" s="1"/>
  <c r="J152" i="4" a="1"/>
  <c r="J152" i="4" s="1"/>
  <c r="J151" i="4" a="1"/>
  <c r="J151" i="4" s="1"/>
  <c r="J150" i="4" a="1"/>
  <c r="J150" i="4" s="1"/>
  <c r="J149" i="4" a="1"/>
  <c r="J149" i="4" s="1"/>
  <c r="J148" i="4" a="1"/>
  <c r="J148" i="4" s="1"/>
  <c r="J147" i="4" a="1"/>
  <c r="J147" i="4" s="1"/>
  <c r="J146" i="4" a="1"/>
  <c r="J146" i="4" s="1"/>
  <c r="J145" i="4" a="1"/>
  <c r="J145" i="4" s="1"/>
  <c r="J144" i="4" a="1"/>
  <c r="J144" i="4" s="1"/>
  <c r="J143" i="4" a="1"/>
  <c r="J143" i="4" s="1"/>
  <c r="J142" i="4" a="1"/>
  <c r="J142" i="4" s="1"/>
  <c r="J141" i="4" a="1"/>
  <c r="J141" i="4" s="1"/>
  <c r="J140" i="4" a="1"/>
  <c r="J140" i="4" s="1"/>
  <c r="J139" i="4" a="1"/>
  <c r="J139" i="4" s="1"/>
  <c r="J138" i="4" a="1"/>
  <c r="J138" i="4" s="1"/>
  <c r="J137" i="4" a="1"/>
  <c r="J137" i="4" s="1"/>
  <c r="J136" i="4" a="1"/>
  <c r="J136" i="4" s="1"/>
  <c r="J135" i="4" a="1"/>
  <c r="J135" i="4" s="1"/>
  <c r="J134" i="4" a="1"/>
  <c r="J134" i="4" s="1"/>
  <c r="J133" i="4" a="1"/>
  <c r="J133" i="4" s="1"/>
  <c r="J132" i="4" a="1"/>
  <c r="J132" i="4" s="1"/>
  <c r="J131" i="4" a="1"/>
  <c r="J131" i="4" s="1"/>
  <c r="J130" i="4" a="1"/>
  <c r="J130" i="4" s="1"/>
  <c r="J129" i="4" a="1"/>
  <c r="J129" i="4" s="1"/>
  <c r="J128" i="4" a="1"/>
  <c r="J128" i="4" s="1"/>
  <c r="J127" i="4" a="1"/>
  <c r="J127" i="4" s="1"/>
  <c r="J126" i="4" a="1"/>
  <c r="J126" i="4" s="1"/>
  <c r="J125" i="4" a="1"/>
  <c r="J125" i="4" s="1"/>
  <c r="J124" i="4" a="1"/>
  <c r="J124" i="4" s="1"/>
  <c r="J123" i="4" a="1"/>
  <c r="J123" i="4" s="1"/>
  <c r="J122" i="4" a="1"/>
  <c r="J122" i="4" s="1"/>
  <c r="J121" i="4" a="1"/>
  <c r="J121" i="4" s="1"/>
  <c r="J120" i="4" a="1"/>
  <c r="J120" i="4" s="1"/>
  <c r="J119" i="4" a="1"/>
  <c r="J119" i="4" s="1"/>
  <c r="J118" i="4" a="1"/>
  <c r="J118" i="4" s="1"/>
  <c r="J117" i="4" a="1"/>
  <c r="J117" i="4" s="1"/>
  <c r="J116" i="4" a="1"/>
  <c r="J116" i="4" s="1"/>
  <c r="J115" i="4" a="1"/>
  <c r="J115" i="4" s="1"/>
  <c r="J114" i="4" a="1"/>
  <c r="J114" i="4" s="1"/>
  <c r="J113" i="4" a="1"/>
  <c r="J113" i="4" s="1"/>
  <c r="J112" i="4" a="1"/>
  <c r="J112" i="4" s="1"/>
  <c r="J111" i="4" a="1"/>
  <c r="J111" i="4" s="1"/>
  <c r="J110" i="4" a="1"/>
  <c r="J110" i="4" s="1"/>
  <c r="J109" i="4" a="1"/>
  <c r="J109" i="4" s="1"/>
  <c r="J108" i="4" a="1"/>
  <c r="J108" i="4" s="1"/>
  <c r="J107" i="4" a="1"/>
  <c r="J107" i="4" s="1"/>
  <c r="J106" i="4" a="1"/>
  <c r="J106" i="4" s="1"/>
  <c r="J105" i="4" a="1"/>
  <c r="J105" i="4" s="1"/>
  <c r="J104" i="4" a="1"/>
  <c r="J104" i="4" s="1"/>
  <c r="J103" i="4" a="1"/>
  <c r="J103" i="4" s="1"/>
  <c r="J102" i="4" a="1"/>
  <c r="J102" i="4" s="1"/>
  <c r="J101" i="4" a="1"/>
  <c r="J101" i="4" s="1"/>
  <c r="J100" i="4" a="1"/>
  <c r="J100" i="4" s="1"/>
  <c r="J99" i="4" a="1"/>
  <c r="J99" i="4" s="1"/>
  <c r="J98" i="4" a="1"/>
  <c r="J98" i="4" s="1"/>
  <c r="J97" i="4" a="1"/>
  <c r="J97" i="4" s="1"/>
  <c r="J96" i="4" a="1"/>
  <c r="J96" i="4" s="1"/>
  <c r="J95" i="4" a="1"/>
  <c r="J95" i="4" s="1"/>
  <c r="J94" i="4" a="1"/>
  <c r="J94" i="4" s="1"/>
  <c r="J93" i="4" a="1"/>
  <c r="J93" i="4" s="1"/>
  <c r="J92" i="4" a="1"/>
  <c r="J92" i="4" s="1"/>
  <c r="J91" i="4" a="1"/>
  <c r="J91" i="4" s="1"/>
  <c r="J90" i="4" a="1"/>
  <c r="J90" i="4" s="1"/>
  <c r="J89" i="4" a="1"/>
  <c r="J89" i="4" s="1"/>
  <c r="J88" i="4" a="1"/>
  <c r="J88" i="4" s="1"/>
  <c r="J87" i="4" a="1"/>
  <c r="J87" i="4" s="1"/>
  <c r="J86" i="4" a="1"/>
  <c r="J86" i="4" s="1"/>
  <c r="J85" i="4" a="1"/>
  <c r="J85" i="4" s="1"/>
  <c r="J83" i="4" a="1"/>
  <c r="J83" i="4" s="1"/>
  <c r="J81" i="4" a="1"/>
  <c r="J81" i="4" s="1"/>
  <c r="J80" i="4" a="1"/>
  <c r="J80" i="4" s="1"/>
  <c r="J78" i="4" a="1"/>
  <c r="J78" i="4" s="1"/>
  <c r="J77" i="4" a="1"/>
  <c r="J77" i="4" s="1"/>
  <c r="J76" i="4" a="1"/>
  <c r="J76" i="4" s="1"/>
  <c r="J74" i="4" a="1"/>
  <c r="J74" i="4" s="1"/>
  <c r="J73" i="4" a="1"/>
  <c r="J73" i="4" s="1"/>
  <c r="J72" i="4" a="1"/>
  <c r="J72" i="4" s="1"/>
  <c r="J71" i="4" a="1"/>
  <c r="J71" i="4" s="1"/>
  <c r="J70" i="4" a="1"/>
  <c r="J70" i="4" s="1"/>
  <c r="J69" i="4" a="1"/>
  <c r="J69" i="4" s="1"/>
  <c r="J68" i="4" a="1"/>
  <c r="J68" i="4" s="1"/>
  <c r="J67" i="4" a="1"/>
  <c r="J67" i="4" s="1"/>
  <c r="J66" i="4" a="1"/>
  <c r="J66" i="4" s="1"/>
  <c r="J65" i="4" a="1"/>
  <c r="J65" i="4" s="1"/>
  <c r="J64" i="4" a="1"/>
  <c r="J64" i="4" s="1"/>
  <c r="J63" i="4" a="1"/>
  <c r="J63" i="4" s="1"/>
  <c r="J61" i="4" a="1"/>
  <c r="J61" i="4" s="1"/>
  <c r="J60" i="4" a="1"/>
  <c r="J60" i="4" s="1"/>
  <c r="J59" i="4" a="1"/>
  <c r="J59" i="4" s="1"/>
  <c r="J58" i="4" a="1"/>
  <c r="J58" i="4" s="1"/>
  <c r="J57" i="4" a="1"/>
  <c r="J57" i="4" s="1"/>
  <c r="J56" i="4" a="1"/>
  <c r="J56" i="4" s="1"/>
  <c r="J55" i="4" a="1"/>
  <c r="J55" i="4" s="1"/>
  <c r="J54" i="4" a="1"/>
  <c r="J54" i="4" s="1"/>
  <c r="J53" i="4" a="1"/>
  <c r="J53" i="4" s="1"/>
  <c r="J52" i="4" a="1"/>
  <c r="J52" i="4" s="1"/>
  <c r="J51" i="4" a="1"/>
  <c r="J51" i="4" s="1"/>
  <c r="J50" i="4" a="1"/>
  <c r="J50" i="4" s="1"/>
  <c r="J49" i="4" a="1"/>
  <c r="J49" i="4" s="1"/>
  <c r="J48" i="4" a="1"/>
  <c r="J48" i="4" s="1"/>
  <c r="J47" i="4" a="1"/>
  <c r="J47" i="4" s="1"/>
  <c r="J46" i="4" a="1"/>
  <c r="J46" i="4" s="1"/>
  <c r="J45" i="4" a="1"/>
  <c r="J45" i="4" s="1"/>
  <c r="J44" i="4" a="1"/>
  <c r="J44" i="4" s="1"/>
  <c r="J43" i="4" a="1"/>
  <c r="J43" i="4" s="1"/>
  <c r="J42" i="4" a="1"/>
  <c r="J42" i="4" s="1"/>
  <c r="J40" i="4" a="1"/>
  <c r="J40" i="4" s="1"/>
  <c r="J39" i="4" a="1"/>
  <c r="J39" i="4" s="1"/>
  <c r="J38" i="4" a="1"/>
  <c r="J38" i="4" s="1"/>
  <c r="J37" i="4" a="1"/>
  <c r="J37" i="4" s="1"/>
  <c r="J36" i="4" a="1"/>
  <c r="J36" i="4" s="1"/>
  <c r="J35" i="4" a="1"/>
  <c r="J35" i="4" s="1"/>
  <c r="J34" i="4" a="1"/>
  <c r="J34" i="4" s="1"/>
  <c r="J33" i="4" a="1"/>
  <c r="J33" i="4" s="1"/>
  <c r="J32" i="4" a="1"/>
  <c r="J32" i="4" s="1"/>
  <c r="J31" i="4" a="1"/>
  <c r="J31" i="4" s="1"/>
  <c r="J30" i="4" a="1"/>
  <c r="J30" i="4" s="1"/>
  <c r="J29" i="4" a="1"/>
  <c r="J29" i="4" s="1"/>
  <c r="J28" i="4" a="1"/>
  <c r="J28" i="4" s="1"/>
  <c r="J27" i="4" a="1"/>
  <c r="J27" i="4" s="1"/>
  <c r="J25" i="4" a="1"/>
  <c r="J25" i="4" s="1"/>
  <c r="J24" i="4" a="1"/>
  <c r="J24" i="4" s="1"/>
  <c r="J23" i="4" a="1"/>
  <c r="J23" i="4" s="1"/>
  <c r="J22" i="4" a="1"/>
  <c r="J22" i="4" s="1"/>
  <c r="J21" i="4" a="1"/>
  <c r="J21" i="4" s="1"/>
  <c r="J20" i="4" a="1"/>
  <c r="J20" i="4" s="1"/>
  <c r="J19" i="4" a="1"/>
  <c r="J19" i="4" s="1"/>
  <c r="J18" i="4" a="1"/>
  <c r="J18" i="4" s="1"/>
  <c r="J17" i="4" a="1"/>
  <c r="J17" i="4" s="1"/>
  <c r="J16" i="4" a="1"/>
  <c r="J16" i="4" s="1"/>
  <c r="J15" i="4" a="1"/>
  <c r="J15" i="4" s="1"/>
  <c r="J14" i="4" a="1"/>
  <c r="J14" i="4" s="1"/>
  <c r="J13" i="4" a="1"/>
  <c r="J13" i="4" s="1"/>
  <c r="J12" i="4" a="1"/>
  <c r="J12" i="4" s="1"/>
  <c r="J11" i="4" a="1"/>
  <c r="J11" i="4" s="1"/>
  <c r="J10" i="4" a="1"/>
  <c r="J10" i="4" s="1"/>
  <c r="J9" i="4" a="1"/>
  <c r="J9" i="4" s="1"/>
  <c r="J8" i="4" a="1"/>
  <c r="J8" i="4" s="1"/>
  <c r="J6" i="4" a="1"/>
  <c r="J6" i="4" s="1"/>
  <c r="J5" i="4" a="1"/>
  <c r="J5" i="4" s="1"/>
  <c r="J4" i="4" a="1"/>
  <c r="J4" i="4" s="1"/>
  <c r="J3" i="4" a="1"/>
  <c r="J3" i="4" s="1"/>
  <c r="J2" i="4" a="1"/>
  <c r="J2" i="4" s="1"/>
  <c r="O215" i="4" a="1"/>
  <c r="O215" i="4" s="1"/>
  <c r="O3" i="4" l="1" a="1"/>
  <c r="O3" i="4" s="1"/>
  <c r="T3" i="4" s="1"/>
  <c r="U3" i="4" s="1"/>
  <c r="O4" i="4" a="1"/>
  <c r="O4" i="4" s="1"/>
  <c r="T4" i="4" s="1"/>
  <c r="U4" i="4" s="1"/>
  <c r="O5" i="4" a="1"/>
  <c r="O5" i="4" s="1"/>
  <c r="T5" i="4" s="1"/>
  <c r="U5" i="4" s="1"/>
  <c r="O6" i="4" a="1"/>
  <c r="O6" i="4" s="1"/>
  <c r="T6" i="4" s="1"/>
  <c r="U6" i="4" s="1"/>
  <c r="T7" i="4"/>
  <c r="U7" i="4" s="1"/>
  <c r="O8" i="4" a="1"/>
  <c r="O8" i="4" s="1"/>
  <c r="T8" i="4" s="1"/>
  <c r="U8" i="4" s="1"/>
  <c r="O9" i="4" a="1"/>
  <c r="O9" i="4" s="1"/>
  <c r="T9" i="4" s="1"/>
  <c r="U9" i="4" s="1"/>
  <c r="O10" i="4" a="1"/>
  <c r="O10" i="4" s="1"/>
  <c r="T10" i="4" s="1"/>
  <c r="U10" i="4" s="1"/>
  <c r="O11" i="4" a="1"/>
  <c r="O11" i="4" s="1"/>
  <c r="T11" i="4" s="1"/>
  <c r="U11" i="4" s="1"/>
  <c r="O12" i="4" a="1"/>
  <c r="O12" i="4" s="1"/>
  <c r="T12" i="4" s="1"/>
  <c r="U12" i="4" s="1"/>
  <c r="O13" i="4" a="1"/>
  <c r="O13" i="4" s="1"/>
  <c r="T13" i="4" s="1"/>
  <c r="U13" i="4" s="1"/>
  <c r="O14" i="4" a="1"/>
  <c r="O14" i="4" s="1"/>
  <c r="T14" i="4" s="1"/>
  <c r="U14" i="4" s="1"/>
  <c r="O15" i="4" a="1"/>
  <c r="O15" i="4" s="1"/>
  <c r="T15" i="4" s="1"/>
  <c r="U15" i="4" s="1"/>
  <c r="O16" i="4" a="1"/>
  <c r="O16" i="4" s="1"/>
  <c r="T16" i="4" s="1"/>
  <c r="U16" i="4" s="1"/>
  <c r="O17" i="4" a="1"/>
  <c r="O17" i="4" s="1"/>
  <c r="T17" i="4" s="1"/>
  <c r="U17" i="4" s="1"/>
  <c r="O18" i="4" a="1"/>
  <c r="O18" i="4" s="1"/>
  <c r="T18" i="4" s="1"/>
  <c r="U18" i="4" s="1"/>
  <c r="O19" i="4" a="1"/>
  <c r="O19" i="4" s="1"/>
  <c r="T19" i="4" s="1"/>
  <c r="U19" i="4" s="1"/>
  <c r="O20" i="4" a="1"/>
  <c r="O20" i="4" s="1"/>
  <c r="T20" i="4" s="1"/>
  <c r="U20" i="4" s="1"/>
  <c r="O21" i="4" a="1"/>
  <c r="O21" i="4" s="1"/>
  <c r="T21" i="4" s="1"/>
  <c r="U21" i="4" s="1"/>
  <c r="O22" i="4" a="1"/>
  <c r="O22" i="4" s="1"/>
  <c r="T22" i="4" s="1"/>
  <c r="U22" i="4" s="1"/>
  <c r="O23" i="4" a="1"/>
  <c r="O23" i="4" s="1"/>
  <c r="T23" i="4" s="1"/>
  <c r="U23" i="4" s="1"/>
  <c r="O24" i="4" a="1"/>
  <c r="O24" i="4" s="1"/>
  <c r="T24" i="4" s="1"/>
  <c r="U24" i="4" s="1"/>
  <c r="O25" i="4" a="1"/>
  <c r="O25" i="4" s="1"/>
  <c r="T25" i="4" s="1"/>
  <c r="U25" i="4" s="1"/>
  <c r="O26" i="4" a="1"/>
  <c r="O26" i="4" s="1"/>
  <c r="T26" i="4" s="1"/>
  <c r="U26" i="4" s="1"/>
  <c r="O27" i="4" a="1"/>
  <c r="O27" i="4" s="1"/>
  <c r="T27" i="4" s="1"/>
  <c r="U27" i="4" s="1"/>
  <c r="O28" i="4" a="1"/>
  <c r="O28" i="4" s="1"/>
  <c r="T28" i="4" s="1"/>
  <c r="U28" i="4" s="1"/>
  <c r="O29" i="4" a="1"/>
  <c r="O29" i="4" s="1"/>
  <c r="T29" i="4" s="1"/>
  <c r="U29" i="4" s="1"/>
  <c r="O30" i="4" a="1"/>
  <c r="O30" i="4" s="1"/>
  <c r="T30" i="4" s="1"/>
  <c r="U30" i="4" s="1"/>
  <c r="O31" i="4" a="1"/>
  <c r="O31" i="4" s="1"/>
  <c r="T31" i="4" s="1"/>
  <c r="U31" i="4" s="1"/>
  <c r="O32" i="4" a="1"/>
  <c r="O32" i="4" s="1"/>
  <c r="T32" i="4" s="1"/>
  <c r="U32" i="4" s="1"/>
  <c r="O33" i="4" a="1"/>
  <c r="O33" i="4" s="1"/>
  <c r="T33" i="4" s="1"/>
  <c r="U33" i="4" s="1"/>
  <c r="O34" i="4" a="1"/>
  <c r="O34" i="4" s="1"/>
  <c r="T34" i="4" s="1"/>
  <c r="U34" i="4" s="1"/>
  <c r="O35" i="4" a="1"/>
  <c r="O35" i="4" s="1"/>
  <c r="T35" i="4" s="1"/>
  <c r="U35" i="4" s="1"/>
  <c r="O36" i="4" a="1"/>
  <c r="O36" i="4" s="1"/>
  <c r="T36" i="4" s="1"/>
  <c r="U36" i="4" s="1"/>
  <c r="O37" i="4" a="1"/>
  <c r="O37" i="4" s="1"/>
  <c r="T37" i="4" s="1"/>
  <c r="U37" i="4" s="1"/>
  <c r="O38" i="4" a="1"/>
  <c r="O38" i="4" s="1"/>
  <c r="T38" i="4" s="1"/>
  <c r="U38" i="4" s="1"/>
  <c r="O39" i="4" a="1"/>
  <c r="O39" i="4" s="1"/>
  <c r="T39" i="4" s="1"/>
  <c r="U39" i="4" s="1"/>
  <c r="O40" i="4" a="1"/>
  <c r="O40" i="4" s="1"/>
  <c r="T40" i="4" s="1"/>
  <c r="U40" i="4" s="1"/>
  <c r="O41" i="4" a="1"/>
  <c r="O41" i="4" s="1"/>
  <c r="T41" i="4" s="1"/>
  <c r="U41" i="4" s="1"/>
  <c r="O42" i="4" a="1"/>
  <c r="O42" i="4" s="1"/>
  <c r="T42" i="4" s="1"/>
  <c r="U42" i="4" s="1"/>
  <c r="O43" i="4" a="1"/>
  <c r="O43" i="4" s="1"/>
  <c r="T43" i="4" s="1"/>
  <c r="U43" i="4" s="1"/>
  <c r="O44" i="4" a="1"/>
  <c r="O44" i="4" s="1"/>
  <c r="T44" i="4" s="1"/>
  <c r="U44" i="4" s="1"/>
  <c r="O45" i="4" a="1"/>
  <c r="O45" i="4" s="1"/>
  <c r="T45" i="4" s="1"/>
  <c r="U45" i="4" s="1"/>
  <c r="O46" i="4" a="1"/>
  <c r="O46" i="4" s="1"/>
  <c r="T46" i="4" s="1"/>
  <c r="U46" i="4" s="1"/>
  <c r="O47" i="4" a="1"/>
  <c r="O47" i="4" s="1"/>
  <c r="T47" i="4" s="1"/>
  <c r="U47" i="4" s="1"/>
  <c r="O48" i="4" a="1"/>
  <c r="O48" i="4" s="1"/>
  <c r="T48" i="4" s="1"/>
  <c r="U48" i="4" s="1"/>
  <c r="O49" i="4" a="1"/>
  <c r="O49" i="4" s="1"/>
  <c r="T49" i="4" s="1"/>
  <c r="U49" i="4" s="1"/>
  <c r="O50" i="4" a="1"/>
  <c r="O50" i="4" s="1"/>
  <c r="T50" i="4" s="1"/>
  <c r="U50" i="4" s="1"/>
  <c r="O51" i="4" a="1"/>
  <c r="O51" i="4" s="1"/>
  <c r="T51" i="4" s="1"/>
  <c r="U51" i="4" s="1"/>
  <c r="O52" i="4" a="1"/>
  <c r="O52" i="4" s="1"/>
  <c r="T52" i="4" s="1"/>
  <c r="U52" i="4" s="1"/>
  <c r="O53" i="4" a="1"/>
  <c r="O53" i="4" s="1"/>
  <c r="T53" i="4" s="1"/>
  <c r="U53" i="4" s="1"/>
  <c r="O54" i="4" a="1"/>
  <c r="O54" i="4" s="1"/>
  <c r="T54" i="4" s="1"/>
  <c r="U54" i="4" s="1"/>
  <c r="O55" i="4" a="1"/>
  <c r="O55" i="4" s="1"/>
  <c r="T55" i="4" s="1"/>
  <c r="U55" i="4" s="1"/>
  <c r="O56" i="4" a="1"/>
  <c r="O56" i="4" s="1"/>
  <c r="T56" i="4" s="1"/>
  <c r="U56" i="4" s="1"/>
  <c r="O57" i="4" a="1"/>
  <c r="O57" i="4" s="1"/>
  <c r="T57" i="4" s="1"/>
  <c r="U57" i="4" s="1"/>
  <c r="O58" i="4" a="1"/>
  <c r="O58" i="4" s="1"/>
  <c r="T58" i="4" s="1"/>
  <c r="U58" i="4" s="1"/>
  <c r="O59" i="4" a="1"/>
  <c r="O59" i="4" s="1"/>
  <c r="T59" i="4" s="1"/>
  <c r="U59" i="4" s="1"/>
  <c r="O60" i="4" a="1"/>
  <c r="O60" i="4" s="1"/>
  <c r="T60" i="4" s="1"/>
  <c r="U60" i="4" s="1"/>
  <c r="O61" i="4" a="1"/>
  <c r="O61" i="4" s="1"/>
  <c r="T61" i="4" s="1"/>
  <c r="U61" i="4" s="1"/>
  <c r="O62" i="4" a="1"/>
  <c r="O62" i="4" s="1"/>
  <c r="T62" i="4" s="1"/>
  <c r="U62" i="4" s="1"/>
  <c r="O63" i="4" a="1"/>
  <c r="O63" i="4" s="1"/>
  <c r="T63" i="4" s="1"/>
  <c r="U63" i="4" s="1"/>
  <c r="O64" i="4" a="1"/>
  <c r="O64" i="4" s="1"/>
  <c r="T64" i="4" s="1"/>
  <c r="U64" i="4" s="1"/>
  <c r="O65" i="4" a="1"/>
  <c r="O65" i="4" s="1"/>
  <c r="T65" i="4" s="1"/>
  <c r="U65" i="4" s="1"/>
  <c r="O66" i="4" a="1"/>
  <c r="O66" i="4" s="1"/>
  <c r="T66" i="4" s="1"/>
  <c r="U66" i="4" s="1"/>
  <c r="O67" i="4" a="1"/>
  <c r="O67" i="4" s="1"/>
  <c r="T67" i="4" s="1"/>
  <c r="U67" i="4" s="1"/>
  <c r="O68" i="4" a="1"/>
  <c r="O68" i="4" s="1"/>
  <c r="T68" i="4" s="1"/>
  <c r="U68" i="4" s="1"/>
  <c r="O69" i="4" a="1"/>
  <c r="O69" i="4" s="1"/>
  <c r="T69" i="4" s="1"/>
  <c r="U69" i="4" s="1"/>
  <c r="O70" i="4" a="1"/>
  <c r="O70" i="4" s="1"/>
  <c r="T70" i="4" s="1"/>
  <c r="U70" i="4" s="1"/>
  <c r="O71" i="4" a="1"/>
  <c r="O71" i="4" s="1"/>
  <c r="T71" i="4" s="1"/>
  <c r="U71" i="4" s="1"/>
  <c r="O72" i="4" a="1"/>
  <c r="O72" i="4" s="1"/>
  <c r="T72" i="4" s="1"/>
  <c r="U72" i="4" s="1"/>
  <c r="O73" i="4" a="1"/>
  <c r="O73" i="4" s="1"/>
  <c r="T73" i="4" s="1"/>
  <c r="U73" i="4" s="1"/>
  <c r="O74" i="4" a="1"/>
  <c r="O74" i="4" s="1"/>
  <c r="T74" i="4" s="1"/>
  <c r="U74" i="4" s="1"/>
  <c r="O76" i="4" a="1"/>
  <c r="O76" i="4" s="1"/>
  <c r="T76" i="4" s="1"/>
  <c r="U76" i="4" s="1"/>
  <c r="O77" i="4" a="1"/>
  <c r="O77" i="4" s="1"/>
  <c r="T77" i="4" s="1"/>
  <c r="U77" i="4" s="1"/>
  <c r="O78" i="4" a="1"/>
  <c r="O78" i="4" s="1"/>
  <c r="T78" i="4" s="1"/>
  <c r="U78" i="4" s="1"/>
  <c r="O80" i="4" a="1"/>
  <c r="O80" i="4" s="1"/>
  <c r="T80" i="4" s="1"/>
  <c r="U80" i="4" s="1"/>
  <c r="O81" i="4" a="1"/>
  <c r="O81" i="4" s="1"/>
  <c r="T81" i="4" s="1"/>
  <c r="U81" i="4" s="1"/>
  <c r="O83" i="4" a="1"/>
  <c r="O83" i="4" s="1"/>
  <c r="T83" i="4" s="1"/>
  <c r="U83" i="4" s="1"/>
  <c r="O84" i="4" a="1"/>
  <c r="O84" i="4" s="1"/>
  <c r="T84" i="4" s="1"/>
  <c r="U84" i="4" s="1"/>
  <c r="O85" i="4" a="1"/>
  <c r="O85" i="4" s="1"/>
  <c r="T85" i="4" s="1"/>
  <c r="U85" i="4" s="1"/>
  <c r="O86" i="4" a="1"/>
  <c r="O86" i="4" s="1"/>
  <c r="T86" i="4" s="1"/>
  <c r="U86" i="4" s="1"/>
  <c r="O87" i="4" a="1"/>
  <c r="O87" i="4" s="1"/>
  <c r="T87" i="4" s="1"/>
  <c r="U87" i="4" s="1"/>
  <c r="O88" i="4" a="1"/>
  <c r="O88" i="4" s="1"/>
  <c r="T88" i="4" s="1"/>
  <c r="U88" i="4" s="1"/>
  <c r="O89" i="4" a="1"/>
  <c r="O89" i="4" s="1"/>
  <c r="T89" i="4" s="1"/>
  <c r="U89" i="4" s="1"/>
  <c r="O90" i="4" a="1"/>
  <c r="O90" i="4" s="1"/>
  <c r="T90" i="4" s="1"/>
  <c r="U90" i="4" s="1"/>
  <c r="O91" i="4" a="1"/>
  <c r="O91" i="4" s="1"/>
  <c r="T91" i="4" s="1"/>
  <c r="U91" i="4" s="1"/>
  <c r="O92" i="4" a="1"/>
  <c r="O92" i="4" s="1"/>
  <c r="T92" i="4" s="1"/>
  <c r="U92" i="4" s="1"/>
  <c r="O93" i="4" a="1"/>
  <c r="O93" i="4" s="1"/>
  <c r="T93" i="4" s="1"/>
  <c r="U93" i="4" s="1"/>
  <c r="O94" i="4" a="1"/>
  <c r="O94" i="4" s="1"/>
  <c r="T94" i="4" s="1"/>
  <c r="U94" i="4" s="1"/>
  <c r="O95" i="4" a="1"/>
  <c r="O95" i="4" s="1"/>
  <c r="T95" i="4" s="1"/>
  <c r="U95" i="4" s="1"/>
  <c r="O96" i="4" a="1"/>
  <c r="O96" i="4" s="1"/>
  <c r="T96" i="4" s="1"/>
  <c r="U96" i="4" s="1"/>
  <c r="O97" i="4" a="1"/>
  <c r="O97" i="4" s="1"/>
  <c r="T97" i="4" s="1"/>
  <c r="U97" i="4" s="1"/>
  <c r="O98" i="4" a="1"/>
  <c r="O98" i="4" s="1"/>
  <c r="T98" i="4" s="1"/>
  <c r="U98" i="4" s="1"/>
  <c r="O99" i="4" a="1"/>
  <c r="O99" i="4" s="1"/>
  <c r="T99" i="4" s="1"/>
  <c r="U99" i="4" s="1"/>
  <c r="O100" i="4" a="1"/>
  <c r="O100" i="4" s="1"/>
  <c r="T100" i="4" s="1"/>
  <c r="U100" i="4" s="1"/>
  <c r="O101" i="4" a="1"/>
  <c r="O101" i="4" s="1"/>
  <c r="T101" i="4" s="1"/>
  <c r="U101" i="4" s="1"/>
  <c r="O102" i="4" a="1"/>
  <c r="O102" i="4" s="1"/>
  <c r="T102" i="4" s="1"/>
  <c r="U102" i="4" s="1"/>
  <c r="O103" i="4" a="1"/>
  <c r="O103" i="4" s="1"/>
  <c r="T103" i="4" s="1"/>
  <c r="U103" i="4" s="1"/>
  <c r="O104" i="4" a="1"/>
  <c r="O104" i="4" s="1"/>
  <c r="T104" i="4" s="1"/>
  <c r="U104" i="4" s="1"/>
  <c r="O105" i="4" a="1"/>
  <c r="O105" i="4" s="1"/>
  <c r="T105" i="4" s="1"/>
  <c r="U105" i="4" s="1"/>
  <c r="O106" i="4" a="1"/>
  <c r="O106" i="4" s="1"/>
  <c r="T106" i="4" s="1"/>
  <c r="U106" i="4" s="1"/>
  <c r="O107" i="4" a="1"/>
  <c r="O107" i="4" s="1"/>
  <c r="T107" i="4" s="1"/>
  <c r="U107" i="4" s="1"/>
  <c r="O108" i="4" a="1"/>
  <c r="O108" i="4" s="1"/>
  <c r="T108" i="4" s="1"/>
  <c r="U108" i="4" s="1"/>
  <c r="O109" i="4" a="1"/>
  <c r="O109" i="4" s="1"/>
  <c r="T109" i="4" s="1"/>
  <c r="U109" i="4" s="1"/>
  <c r="O110" i="4" a="1"/>
  <c r="O110" i="4" s="1"/>
  <c r="T110" i="4" s="1"/>
  <c r="U110" i="4" s="1"/>
  <c r="O111" i="4" a="1"/>
  <c r="O111" i="4" s="1"/>
  <c r="T111" i="4" s="1"/>
  <c r="U111" i="4" s="1"/>
  <c r="O112" i="4" a="1"/>
  <c r="O112" i="4" s="1"/>
  <c r="T112" i="4" s="1"/>
  <c r="U112" i="4" s="1"/>
  <c r="O113" i="4" a="1"/>
  <c r="O113" i="4" s="1"/>
  <c r="T113" i="4" s="1"/>
  <c r="U113" i="4" s="1"/>
  <c r="O114" i="4" a="1"/>
  <c r="O114" i="4" s="1"/>
  <c r="T114" i="4" s="1"/>
  <c r="U114" i="4" s="1"/>
  <c r="O115" i="4" a="1"/>
  <c r="O115" i="4" s="1"/>
  <c r="T115" i="4" s="1"/>
  <c r="U115" i="4" s="1"/>
  <c r="O116" i="4" a="1"/>
  <c r="O116" i="4" s="1"/>
  <c r="T116" i="4" s="1"/>
  <c r="U116" i="4" s="1"/>
  <c r="O117" i="4" a="1"/>
  <c r="O117" i="4" s="1"/>
  <c r="T117" i="4" s="1"/>
  <c r="U117" i="4" s="1"/>
  <c r="O118" i="4" a="1"/>
  <c r="O118" i="4" s="1"/>
  <c r="T118" i="4" s="1"/>
  <c r="U118" i="4" s="1"/>
  <c r="O119" i="4" a="1"/>
  <c r="O119" i="4" s="1"/>
  <c r="T119" i="4" s="1"/>
  <c r="U119" i="4" s="1"/>
  <c r="O120" i="4" a="1"/>
  <c r="O120" i="4" s="1"/>
  <c r="T120" i="4" s="1"/>
  <c r="U120" i="4" s="1"/>
  <c r="O121" i="4" a="1"/>
  <c r="O121" i="4" s="1"/>
  <c r="T121" i="4" s="1"/>
  <c r="U121" i="4" s="1"/>
  <c r="O122" i="4" a="1"/>
  <c r="O122" i="4" s="1"/>
  <c r="T122" i="4" s="1"/>
  <c r="U122" i="4" s="1"/>
  <c r="Q122" i="4" s="1"/>
  <c r="O123" i="4" a="1"/>
  <c r="O123" i="4" s="1"/>
  <c r="T123" i="4" s="1"/>
  <c r="U123" i="4" s="1"/>
  <c r="O124" i="4" a="1"/>
  <c r="O124" i="4" s="1"/>
  <c r="T124" i="4" s="1"/>
  <c r="U124" i="4" s="1"/>
  <c r="O125" i="4" a="1"/>
  <c r="O125" i="4" s="1"/>
  <c r="T125" i="4" s="1"/>
  <c r="U125" i="4" s="1"/>
  <c r="O126" i="4" a="1"/>
  <c r="O126" i="4" s="1"/>
  <c r="T126" i="4" s="1"/>
  <c r="U126" i="4" s="1"/>
  <c r="O127" i="4" a="1"/>
  <c r="O127" i="4" s="1"/>
  <c r="T127" i="4" s="1"/>
  <c r="U127" i="4" s="1"/>
  <c r="O128" i="4" a="1"/>
  <c r="O128" i="4" s="1"/>
  <c r="T128" i="4" s="1"/>
  <c r="U128" i="4" s="1"/>
  <c r="O129" i="4" a="1"/>
  <c r="O129" i="4" s="1"/>
  <c r="T129" i="4" s="1"/>
  <c r="U129" i="4" s="1"/>
  <c r="O130" i="4" a="1"/>
  <c r="O130" i="4" s="1"/>
  <c r="T130" i="4" s="1"/>
  <c r="U130" i="4" s="1"/>
  <c r="O131" i="4" a="1"/>
  <c r="O131" i="4" s="1"/>
  <c r="T131" i="4" s="1"/>
  <c r="U131" i="4" s="1"/>
  <c r="O132" i="4" a="1"/>
  <c r="O132" i="4" s="1"/>
  <c r="T132" i="4" s="1"/>
  <c r="U132" i="4" s="1"/>
  <c r="O133" i="4" a="1"/>
  <c r="O133" i="4" s="1"/>
  <c r="T133" i="4" s="1"/>
  <c r="U133" i="4" s="1"/>
  <c r="O134" i="4" a="1"/>
  <c r="O134" i="4" s="1"/>
  <c r="T134" i="4" s="1"/>
  <c r="U134" i="4" s="1"/>
  <c r="O135" i="4" a="1"/>
  <c r="O135" i="4" s="1"/>
  <c r="T135" i="4" s="1"/>
  <c r="U135" i="4" s="1"/>
  <c r="O136" i="4" a="1"/>
  <c r="O136" i="4" s="1"/>
  <c r="T136" i="4" s="1"/>
  <c r="U136" i="4" s="1"/>
  <c r="O137" i="4" a="1"/>
  <c r="O137" i="4" s="1"/>
  <c r="T137" i="4" s="1"/>
  <c r="U137" i="4" s="1"/>
  <c r="O138" i="4" a="1"/>
  <c r="O138" i="4" s="1"/>
  <c r="T138" i="4" s="1"/>
  <c r="U138" i="4" s="1"/>
  <c r="O139" i="4" a="1"/>
  <c r="O139" i="4" s="1"/>
  <c r="T139" i="4" s="1"/>
  <c r="U139" i="4" s="1"/>
  <c r="O140" i="4" a="1"/>
  <c r="O140" i="4" s="1"/>
  <c r="T140" i="4" s="1"/>
  <c r="U140" i="4" s="1"/>
  <c r="O141" i="4" a="1"/>
  <c r="O141" i="4" s="1"/>
  <c r="T141" i="4" s="1"/>
  <c r="U141" i="4" s="1"/>
  <c r="O142" i="4" a="1"/>
  <c r="O142" i="4" s="1"/>
  <c r="T142" i="4" s="1"/>
  <c r="U142" i="4" s="1"/>
  <c r="O143" i="4" a="1"/>
  <c r="O143" i="4" s="1"/>
  <c r="T143" i="4" s="1"/>
  <c r="U143" i="4" s="1"/>
  <c r="O144" i="4" a="1"/>
  <c r="O144" i="4" s="1"/>
  <c r="T144" i="4" s="1"/>
  <c r="U144" i="4" s="1"/>
  <c r="O145" i="4" a="1"/>
  <c r="O145" i="4" s="1"/>
  <c r="T145" i="4" s="1"/>
  <c r="U145" i="4" s="1"/>
  <c r="O146" i="4" a="1"/>
  <c r="O146" i="4" s="1"/>
  <c r="T146" i="4" s="1"/>
  <c r="U146" i="4" s="1"/>
  <c r="O147" i="4" a="1"/>
  <c r="O147" i="4" s="1"/>
  <c r="T147" i="4" s="1"/>
  <c r="U147" i="4" s="1"/>
  <c r="O148" i="4" a="1"/>
  <c r="O148" i="4" s="1"/>
  <c r="T148" i="4" s="1"/>
  <c r="U148" i="4" s="1"/>
  <c r="O149" i="4" a="1"/>
  <c r="O149" i="4" s="1"/>
  <c r="T149" i="4" s="1"/>
  <c r="U149" i="4" s="1"/>
  <c r="O150" i="4" a="1"/>
  <c r="O150" i="4" s="1"/>
  <c r="T150" i="4" s="1"/>
  <c r="U150" i="4" s="1"/>
  <c r="O151" i="4" a="1"/>
  <c r="O151" i="4" s="1"/>
  <c r="T151" i="4" s="1"/>
  <c r="U151" i="4" s="1"/>
  <c r="O152" i="4" a="1"/>
  <c r="O152" i="4" s="1"/>
  <c r="T152" i="4" s="1"/>
  <c r="U152" i="4" s="1"/>
  <c r="O153" i="4" a="1"/>
  <c r="O153" i="4" s="1"/>
  <c r="T153" i="4" s="1"/>
  <c r="U153" i="4" s="1"/>
  <c r="O154" i="4" a="1"/>
  <c r="O154" i="4" s="1"/>
  <c r="T154" i="4" s="1"/>
  <c r="U154" i="4" s="1"/>
  <c r="O155" i="4" a="1"/>
  <c r="O155" i="4" s="1"/>
  <c r="T155" i="4" s="1"/>
  <c r="U155" i="4" s="1"/>
  <c r="O156" i="4" a="1"/>
  <c r="O156" i="4" s="1"/>
  <c r="T156" i="4" s="1"/>
  <c r="U156" i="4" s="1"/>
  <c r="O157" i="4" a="1"/>
  <c r="O157" i="4" s="1"/>
  <c r="T157" i="4" s="1"/>
  <c r="U157" i="4" s="1"/>
  <c r="O158" i="4" a="1"/>
  <c r="O158" i="4" s="1"/>
  <c r="T158" i="4" s="1"/>
  <c r="U158" i="4" s="1"/>
  <c r="O159" i="4" a="1"/>
  <c r="O159" i="4" s="1"/>
  <c r="T159" i="4" s="1"/>
  <c r="U159" i="4" s="1"/>
  <c r="O160" i="4" a="1"/>
  <c r="O160" i="4" s="1"/>
  <c r="T160" i="4" s="1"/>
  <c r="U160" i="4" s="1"/>
  <c r="O161" i="4" a="1"/>
  <c r="O161" i="4" s="1"/>
  <c r="T161" i="4" s="1"/>
  <c r="U161" i="4" s="1"/>
  <c r="O162" i="4" a="1"/>
  <c r="O162" i="4" s="1"/>
  <c r="T162" i="4" s="1"/>
  <c r="U162" i="4" s="1"/>
  <c r="O163" i="4" a="1"/>
  <c r="O163" i="4" s="1"/>
  <c r="T163" i="4" s="1"/>
  <c r="U163" i="4" s="1"/>
  <c r="O164" i="4" a="1"/>
  <c r="O164" i="4" s="1"/>
  <c r="T164" i="4" s="1"/>
  <c r="U164" i="4" s="1"/>
  <c r="O165" i="4" a="1"/>
  <c r="O165" i="4" s="1"/>
  <c r="T165" i="4" s="1"/>
  <c r="U165" i="4" s="1"/>
  <c r="O166" i="4" a="1"/>
  <c r="O166" i="4" s="1"/>
  <c r="T166" i="4" s="1"/>
  <c r="U166" i="4" s="1"/>
  <c r="O167" i="4" a="1"/>
  <c r="O167" i="4" s="1"/>
  <c r="T167" i="4" s="1"/>
  <c r="U167" i="4" s="1"/>
  <c r="O168" i="4" a="1"/>
  <c r="O168" i="4" s="1"/>
  <c r="T168" i="4" s="1"/>
  <c r="U168" i="4" s="1"/>
  <c r="O169" i="4" a="1"/>
  <c r="O169" i="4" s="1"/>
  <c r="T169" i="4" s="1"/>
  <c r="U169" i="4" s="1"/>
  <c r="O170" i="4" a="1"/>
  <c r="O170" i="4" s="1"/>
  <c r="T170" i="4" s="1"/>
  <c r="U170" i="4" s="1"/>
  <c r="O171" i="4" a="1"/>
  <c r="O171" i="4" s="1"/>
  <c r="T171" i="4" s="1"/>
  <c r="U171" i="4" s="1"/>
  <c r="O172" i="4" a="1"/>
  <c r="O172" i="4" s="1"/>
  <c r="T172" i="4" s="1"/>
  <c r="U172" i="4" s="1"/>
  <c r="O173" i="4" a="1"/>
  <c r="O173" i="4" s="1"/>
  <c r="T173" i="4" s="1"/>
  <c r="U173" i="4" s="1"/>
  <c r="O174" i="4" a="1"/>
  <c r="O174" i="4" s="1"/>
  <c r="T174" i="4" s="1"/>
  <c r="U174" i="4" s="1"/>
  <c r="O175" i="4" a="1"/>
  <c r="O175" i="4" s="1"/>
  <c r="T175" i="4" s="1"/>
  <c r="U175" i="4" s="1"/>
  <c r="O176" i="4" a="1"/>
  <c r="O176" i="4" s="1"/>
  <c r="T176" i="4" s="1"/>
  <c r="U176" i="4" s="1"/>
  <c r="O177" i="4" a="1"/>
  <c r="O177" i="4" s="1"/>
  <c r="T177" i="4" s="1"/>
  <c r="U177" i="4" s="1"/>
  <c r="O178" i="4" a="1"/>
  <c r="O178" i="4" s="1"/>
  <c r="T178" i="4" s="1"/>
  <c r="U178" i="4" s="1"/>
  <c r="O179" i="4" a="1"/>
  <c r="O179" i="4" s="1"/>
  <c r="T179" i="4" s="1"/>
  <c r="U179" i="4" s="1"/>
  <c r="O180" i="4" a="1"/>
  <c r="O180" i="4" s="1"/>
  <c r="T180" i="4" s="1"/>
  <c r="U180" i="4" s="1"/>
  <c r="O181" i="4" a="1"/>
  <c r="O181" i="4" s="1"/>
  <c r="T181" i="4" s="1"/>
  <c r="U181" i="4" s="1"/>
  <c r="O182" i="4" a="1"/>
  <c r="O182" i="4" s="1"/>
  <c r="T182" i="4" s="1"/>
  <c r="U182" i="4" s="1"/>
  <c r="O183" i="4" a="1"/>
  <c r="O183" i="4" s="1"/>
  <c r="T183" i="4" s="1"/>
  <c r="U183" i="4" s="1"/>
  <c r="O184" i="4" a="1"/>
  <c r="O184" i="4" s="1"/>
  <c r="T184" i="4" s="1"/>
  <c r="U184" i="4" s="1"/>
  <c r="O185" i="4" a="1"/>
  <c r="O185" i="4" s="1"/>
  <c r="T185" i="4" s="1"/>
  <c r="U185" i="4" s="1"/>
  <c r="O186" i="4" a="1"/>
  <c r="O186" i="4" s="1"/>
  <c r="T186" i="4" s="1"/>
  <c r="U186" i="4" s="1"/>
  <c r="O187" i="4" a="1"/>
  <c r="O187" i="4" s="1"/>
  <c r="T187" i="4" s="1"/>
  <c r="U187" i="4" s="1"/>
  <c r="O188" i="4" a="1"/>
  <c r="O188" i="4" s="1"/>
  <c r="T188" i="4" s="1"/>
  <c r="U188" i="4" s="1"/>
  <c r="O189" i="4" a="1"/>
  <c r="O189" i="4" s="1"/>
  <c r="T189" i="4" s="1"/>
  <c r="U189" i="4" s="1"/>
  <c r="O190" i="4" a="1"/>
  <c r="O190" i="4" s="1"/>
  <c r="T190" i="4" s="1"/>
  <c r="U190" i="4" s="1"/>
  <c r="O191" i="4" a="1"/>
  <c r="O191" i="4" s="1"/>
  <c r="T191" i="4" s="1"/>
  <c r="U191" i="4" s="1"/>
  <c r="O192" i="4" a="1"/>
  <c r="O192" i="4" s="1"/>
  <c r="T192" i="4" s="1"/>
  <c r="U192" i="4" s="1"/>
  <c r="O193" i="4" a="1"/>
  <c r="O193" i="4" s="1"/>
  <c r="T193" i="4" s="1"/>
  <c r="U193" i="4" s="1"/>
  <c r="O194" i="4" a="1"/>
  <c r="O194" i="4" s="1"/>
  <c r="T194" i="4" s="1"/>
  <c r="U194" i="4" s="1"/>
  <c r="O195" i="4" a="1"/>
  <c r="O195" i="4" s="1"/>
  <c r="T195" i="4" s="1"/>
  <c r="U195" i="4" s="1"/>
  <c r="O196" i="4" a="1"/>
  <c r="O196" i="4" s="1"/>
  <c r="T196" i="4" s="1"/>
  <c r="U196" i="4" s="1"/>
  <c r="O197" i="4" a="1"/>
  <c r="O197" i="4" s="1"/>
  <c r="T197" i="4" s="1"/>
  <c r="U197" i="4" s="1"/>
  <c r="O198" i="4" a="1"/>
  <c r="O198" i="4" s="1"/>
  <c r="T198" i="4" s="1"/>
  <c r="U198" i="4" s="1"/>
  <c r="O199" i="4" a="1"/>
  <c r="O199" i="4" s="1"/>
  <c r="T199" i="4" s="1"/>
  <c r="U199" i="4" s="1"/>
  <c r="Q199" i="4" s="1"/>
  <c r="O200" i="4" a="1"/>
  <c r="O200" i="4" s="1"/>
  <c r="T200" i="4" s="1"/>
  <c r="U200" i="4" s="1"/>
  <c r="O201" i="4" a="1"/>
  <c r="O201" i="4" s="1"/>
  <c r="T201" i="4" s="1"/>
  <c r="U201" i="4" s="1"/>
  <c r="O202" i="4" a="1"/>
  <c r="O202" i="4" s="1"/>
  <c r="T202" i="4" s="1"/>
  <c r="U202" i="4" s="1"/>
  <c r="O203" i="4" a="1"/>
  <c r="O203" i="4" s="1"/>
  <c r="T203" i="4" s="1"/>
  <c r="U203" i="4" s="1"/>
  <c r="O204" i="4" a="1"/>
  <c r="O204" i="4" s="1"/>
  <c r="T204" i="4" s="1"/>
  <c r="U204" i="4" s="1"/>
  <c r="O205" i="4" a="1"/>
  <c r="O205" i="4" s="1"/>
  <c r="T205" i="4" s="1"/>
  <c r="U205" i="4" s="1"/>
  <c r="O206" i="4" a="1"/>
  <c r="O206" i="4" s="1"/>
  <c r="T206" i="4" s="1"/>
  <c r="U206" i="4" s="1"/>
  <c r="O207" i="4" a="1"/>
  <c r="O207" i="4" s="1"/>
  <c r="T207" i="4" s="1"/>
  <c r="U207" i="4" s="1"/>
  <c r="O208" i="4" a="1"/>
  <c r="O208" i="4" s="1"/>
  <c r="T208" i="4" s="1"/>
  <c r="U208" i="4" s="1"/>
  <c r="O209" i="4" a="1"/>
  <c r="O209" i="4" s="1"/>
  <c r="T209" i="4" s="1"/>
  <c r="U209" i="4" s="1"/>
  <c r="O210" i="4" a="1"/>
  <c r="O210" i="4" s="1"/>
  <c r="T210" i="4" s="1"/>
  <c r="U210" i="4" s="1"/>
  <c r="O211" i="4" a="1"/>
  <c r="O211" i="4" s="1"/>
  <c r="T211" i="4" s="1"/>
  <c r="U211" i="4" s="1"/>
  <c r="O212" i="4" a="1"/>
  <c r="O212" i="4" s="1"/>
  <c r="T212" i="4" s="1"/>
  <c r="U212" i="4" s="1"/>
  <c r="O213" i="4" a="1"/>
  <c r="O213" i="4" s="1"/>
  <c r="T213" i="4" s="1"/>
  <c r="U213" i="4" s="1"/>
  <c r="O214" i="4" a="1"/>
  <c r="O214" i="4" s="1"/>
  <c r="T214" i="4" s="1"/>
  <c r="U214" i="4" s="1"/>
  <c r="O2" i="4" a="1"/>
  <c r="O2" i="4" s="1"/>
  <c r="T2" i="4" s="1"/>
  <c r="U2" i="4" s="1"/>
  <c r="R118" i="4"/>
  <c r="R122" i="4"/>
  <c r="S122" i="4" s="1"/>
  <c r="L122" i="4" s="1"/>
  <c r="R173" i="4"/>
  <c r="R199" i="4"/>
  <c r="S199" i="4" s="1"/>
  <c r="L199" i="4" s="1"/>
  <c r="T215" i="4"/>
  <c r="U215" i="4" s="1"/>
  <c r="T216" i="4"/>
  <c r="U216" i="4" s="1"/>
  <c r="T217" i="4"/>
  <c r="U217" i="4" s="1"/>
  <c r="T218" i="4"/>
  <c r="U218" i="4" s="1"/>
  <c r="T219" i="4"/>
  <c r="U219" i="4" s="1"/>
  <c r="T220" i="4"/>
  <c r="U220" i="4" s="1"/>
  <c r="T221" i="4"/>
  <c r="U221" i="4" s="1"/>
  <c r="T222" i="4"/>
  <c r="U222" i="4" s="1"/>
  <c r="T223" i="4"/>
  <c r="U223" i="4" s="1"/>
  <c r="T224" i="4"/>
  <c r="U224" i="4" s="1"/>
  <c r="T225" i="4"/>
  <c r="U225" i="4" s="1"/>
  <c r="T226" i="4"/>
  <c r="U226" i="4" s="1"/>
  <c r="T227" i="4"/>
  <c r="U227" i="4" s="1"/>
  <c r="T228" i="4"/>
  <c r="U228" i="4" s="1"/>
  <c r="T229" i="4"/>
  <c r="U229" i="4" s="1"/>
  <c r="T231" i="4"/>
  <c r="U231" i="4" s="1"/>
  <c r="T232" i="4"/>
  <c r="U232" i="4" s="1"/>
  <c r="T233" i="4"/>
  <c r="U233" i="4" s="1"/>
  <c r="T234" i="4"/>
  <c r="U234" i="4" s="1"/>
  <c r="T235" i="4"/>
  <c r="U235" i="4" s="1"/>
  <c r="T236" i="4"/>
  <c r="U236" i="4" s="1"/>
  <c r="T237" i="4"/>
  <c r="U237" i="4" s="1"/>
  <c r="T238" i="4"/>
  <c r="U238" i="4" s="1"/>
  <c r="T239" i="4"/>
  <c r="U239" i="4" s="1"/>
  <c r="T240" i="4"/>
  <c r="U240" i="4" s="1"/>
  <c r="T241" i="4"/>
  <c r="U241" i="4" s="1"/>
  <c r="T242" i="4"/>
  <c r="U242" i="4" s="1"/>
  <c r="T243" i="4"/>
  <c r="U243" i="4" s="1"/>
  <c r="T244" i="4"/>
  <c r="U244" i="4" s="1"/>
  <c r="Q244" i="4" s="1"/>
  <c r="T245" i="4"/>
  <c r="U245" i="4" s="1"/>
  <c r="T246" i="4"/>
  <c r="U246" i="4" s="1"/>
  <c r="T247" i="4"/>
  <c r="U247" i="4" s="1"/>
  <c r="T248" i="4"/>
  <c r="U248" i="4" s="1"/>
  <c r="T249" i="4"/>
  <c r="U249" i="4" s="1"/>
  <c r="T250" i="4"/>
  <c r="U250" i="4" s="1"/>
  <c r="T251" i="4"/>
  <c r="U251" i="4" s="1"/>
  <c r="T252" i="4"/>
  <c r="U252" i="4" s="1"/>
  <c r="T253" i="4"/>
  <c r="U253" i="4" s="1"/>
  <c r="T254" i="4"/>
  <c r="U254" i="4" s="1"/>
  <c r="T255" i="4"/>
  <c r="U255" i="4" s="1"/>
  <c r="T256" i="4"/>
  <c r="U256" i="4" s="1"/>
  <c r="T257" i="4"/>
  <c r="U257" i="4" s="1"/>
  <c r="T258" i="4"/>
  <c r="U258" i="4" s="1"/>
  <c r="T259" i="4"/>
  <c r="U259" i="4" s="1"/>
  <c r="T260" i="4"/>
  <c r="U260" i="4" s="1"/>
  <c r="T261" i="4"/>
  <c r="U261" i="4" s="1"/>
  <c r="T262" i="4"/>
  <c r="U262" i="4" s="1"/>
  <c r="T263" i="4"/>
  <c r="U263" i="4" s="1"/>
  <c r="T264" i="4"/>
  <c r="U264" i="4" s="1"/>
  <c r="T265" i="4"/>
  <c r="U265" i="4" s="1"/>
  <c r="T266" i="4"/>
  <c r="U266" i="4" s="1"/>
  <c r="T267" i="4"/>
  <c r="U267" i="4" s="1"/>
  <c r="T268" i="4"/>
  <c r="U268" i="4" s="1"/>
  <c r="T269" i="4"/>
  <c r="U269" i="4" s="1"/>
  <c r="T270" i="4"/>
  <c r="U270" i="4" s="1"/>
  <c r="T271" i="4"/>
  <c r="U271" i="4" s="1"/>
  <c r="T272" i="4"/>
  <c r="U272" i="4" s="1"/>
  <c r="T273" i="4"/>
  <c r="U273" i="4" s="1"/>
  <c r="T274" i="4"/>
  <c r="U274" i="4" s="1"/>
  <c r="T275" i="4"/>
  <c r="U275" i="4" s="1"/>
  <c r="T276" i="4"/>
  <c r="U276" i="4" s="1"/>
  <c r="T277" i="4"/>
  <c r="U277" i="4" s="1"/>
  <c r="T278" i="4"/>
  <c r="U278" i="4" s="1"/>
  <c r="T279" i="4"/>
  <c r="U279" i="4" s="1"/>
  <c r="T280" i="4"/>
  <c r="U280" i="4" s="1"/>
  <c r="T281" i="4"/>
  <c r="U281" i="4" s="1"/>
  <c r="T282" i="4"/>
  <c r="U282" i="4" s="1"/>
  <c r="T283" i="4"/>
  <c r="U283" i="4" s="1"/>
  <c r="T284" i="4"/>
  <c r="U284" i="4" s="1"/>
  <c r="T285" i="4"/>
  <c r="U285" i="4" s="1"/>
  <c r="T286" i="4"/>
  <c r="U286" i="4" s="1"/>
  <c r="T287" i="4"/>
  <c r="U287" i="4" s="1"/>
  <c r="T288" i="4"/>
  <c r="U288" i="4" s="1"/>
  <c r="T289" i="4"/>
  <c r="U289" i="4" s="1"/>
  <c r="T290" i="4"/>
  <c r="U290" i="4" s="1"/>
  <c r="T291" i="4"/>
  <c r="U291" i="4" s="1"/>
  <c r="T292" i="4"/>
  <c r="U292" i="4" s="1"/>
  <c r="T293" i="4"/>
  <c r="U293" i="4" s="1"/>
  <c r="T294" i="4"/>
  <c r="U294" i="4" s="1"/>
  <c r="T295" i="4"/>
  <c r="U295" i="4" s="1"/>
  <c r="T296" i="4"/>
  <c r="U296" i="4" s="1"/>
  <c r="T297" i="4"/>
  <c r="U297" i="4" s="1"/>
  <c r="T298" i="4"/>
  <c r="U298" i="4" s="1"/>
  <c r="T299" i="4"/>
  <c r="U299" i="4" s="1"/>
  <c r="T300" i="4"/>
  <c r="U300" i="4" s="1"/>
  <c r="T301" i="4"/>
  <c r="U301" i="4" s="1"/>
  <c r="T302" i="4"/>
  <c r="U302" i="4" s="1"/>
  <c r="T303" i="4"/>
  <c r="U303" i="4" s="1"/>
  <c r="T304" i="4"/>
  <c r="U304" i="4" s="1"/>
  <c r="T305" i="4"/>
  <c r="U305" i="4" s="1"/>
  <c r="T306" i="4"/>
  <c r="U306" i="4" s="1"/>
  <c r="T307" i="4"/>
  <c r="U307" i="4" s="1"/>
  <c r="T308" i="4"/>
  <c r="U308" i="4" s="1"/>
  <c r="T309" i="4"/>
  <c r="U309" i="4" s="1"/>
  <c r="T310" i="4"/>
  <c r="U310" i="4" s="1"/>
  <c r="T311" i="4"/>
  <c r="U311" i="4" s="1"/>
  <c r="T312" i="4"/>
  <c r="U312" i="4" s="1"/>
  <c r="T313" i="4"/>
  <c r="U313" i="4" s="1"/>
  <c r="T314" i="4"/>
  <c r="U314" i="4" s="1"/>
  <c r="T315" i="4"/>
  <c r="U315" i="4" s="1"/>
  <c r="T316" i="4"/>
  <c r="U316" i="4" s="1"/>
  <c r="T317" i="4"/>
  <c r="U317" i="4" s="1"/>
  <c r="T318" i="4"/>
  <c r="U318" i="4" s="1"/>
  <c r="T319" i="4"/>
  <c r="U319" i="4" s="1"/>
  <c r="T320" i="4"/>
  <c r="U320" i="4" s="1"/>
  <c r="T321" i="4"/>
  <c r="U321" i="4" s="1"/>
  <c r="T322" i="4"/>
  <c r="U322" i="4" s="1"/>
  <c r="T323" i="4"/>
  <c r="U323" i="4" s="1"/>
  <c r="T324" i="4"/>
  <c r="U324" i="4" s="1"/>
  <c r="T325" i="4"/>
  <c r="U325" i="4" s="1"/>
  <c r="T326" i="4"/>
  <c r="U326" i="4" s="1"/>
  <c r="T327" i="4"/>
  <c r="U327" i="4" s="1"/>
  <c r="T328" i="4"/>
  <c r="U328" i="4" s="1"/>
  <c r="T329" i="4"/>
  <c r="U329" i="4" s="1"/>
  <c r="T330" i="4"/>
  <c r="U330" i="4" s="1"/>
  <c r="T331" i="4"/>
  <c r="U331" i="4" s="1"/>
  <c r="T332" i="4"/>
  <c r="U332" i="4" s="1"/>
  <c r="T333" i="4"/>
  <c r="U333" i="4" s="1"/>
  <c r="T334" i="4"/>
  <c r="U334" i="4" s="1"/>
  <c r="T335" i="4"/>
  <c r="U335" i="4" s="1"/>
  <c r="T336" i="4"/>
  <c r="U336" i="4" s="1"/>
  <c r="T337" i="4"/>
  <c r="U337" i="4" s="1"/>
  <c r="T338" i="4"/>
  <c r="U338" i="4" s="1"/>
  <c r="T339" i="4"/>
  <c r="U339" i="4" s="1"/>
  <c r="T340" i="4"/>
  <c r="U340" i="4" s="1"/>
  <c r="T341" i="4"/>
  <c r="U341" i="4" s="1"/>
  <c r="T342" i="4"/>
  <c r="U342" i="4" s="1"/>
  <c r="T343" i="4"/>
  <c r="U343" i="4" s="1"/>
  <c r="T344" i="4"/>
  <c r="U344" i="4" s="1"/>
  <c r="T345" i="4"/>
  <c r="U345" i="4" s="1"/>
  <c r="T346" i="4"/>
  <c r="U346" i="4" s="1"/>
  <c r="T347" i="4"/>
  <c r="U347" i="4" s="1"/>
  <c r="T348" i="4"/>
  <c r="U348" i="4" s="1"/>
  <c r="T349" i="4"/>
  <c r="U349" i="4" s="1"/>
  <c r="T350" i="4"/>
  <c r="U350" i="4" s="1"/>
  <c r="T351" i="4"/>
  <c r="U351" i="4" s="1"/>
  <c r="T352" i="4"/>
  <c r="U352" i="4" s="1"/>
  <c r="T353" i="4"/>
  <c r="U353" i="4" s="1"/>
  <c r="T354" i="4"/>
  <c r="U354" i="4" s="1"/>
  <c r="T355" i="4"/>
  <c r="U355" i="4" s="1"/>
  <c r="T356" i="4"/>
  <c r="U356" i="4" s="1"/>
  <c r="T357" i="4"/>
  <c r="U357" i="4" s="1"/>
  <c r="T358" i="4"/>
  <c r="U358" i="4" s="1"/>
  <c r="T359" i="4"/>
  <c r="U359" i="4" s="1"/>
  <c r="T360" i="4"/>
  <c r="U360" i="4" s="1"/>
  <c r="T361" i="4"/>
  <c r="U361" i="4" s="1"/>
  <c r="T362" i="4"/>
  <c r="U362" i="4" s="1"/>
  <c r="T363" i="4"/>
  <c r="U363" i="4" s="1"/>
  <c r="T364" i="4"/>
  <c r="U364" i="4" s="1"/>
  <c r="T365" i="4"/>
  <c r="U365" i="4" s="1"/>
  <c r="T366" i="4"/>
  <c r="U366" i="4" s="1"/>
  <c r="T367" i="4"/>
  <c r="U367" i="4" s="1"/>
  <c r="T368" i="4"/>
  <c r="U368" i="4" s="1"/>
  <c r="T369" i="4"/>
  <c r="U369" i="4" s="1"/>
  <c r="T370" i="4"/>
  <c r="U370" i="4" s="1"/>
  <c r="T371" i="4"/>
  <c r="U371" i="4" s="1"/>
  <c r="T372" i="4"/>
  <c r="U372" i="4" s="1"/>
  <c r="T373" i="4"/>
  <c r="U373" i="4" s="1"/>
  <c r="T374" i="4"/>
  <c r="U374" i="4" s="1"/>
  <c r="T375" i="4"/>
  <c r="U375" i="4" s="1"/>
  <c r="T376" i="4"/>
  <c r="U376" i="4" s="1"/>
  <c r="T377" i="4"/>
  <c r="U377" i="4" s="1"/>
  <c r="T378" i="4"/>
  <c r="U378" i="4" s="1"/>
  <c r="T379" i="4"/>
  <c r="U379" i="4" s="1"/>
  <c r="T380" i="4"/>
  <c r="U380" i="4" s="1"/>
  <c r="T381" i="4"/>
  <c r="U381" i="4" s="1"/>
  <c r="T382" i="4"/>
  <c r="U382" i="4" s="1"/>
  <c r="T519" i="4"/>
  <c r="U519" i="4" s="1"/>
  <c r="T520" i="4"/>
  <c r="U520" i="4" s="1"/>
  <c r="T521" i="4"/>
  <c r="U521" i="4" s="1"/>
  <c r="T522" i="4"/>
  <c r="U522" i="4" s="1"/>
  <c r="T523" i="4"/>
  <c r="U523" i="4" s="1"/>
  <c r="T524" i="4"/>
  <c r="U524" i="4" s="1"/>
  <c r="T525" i="4"/>
  <c r="U525" i="4" s="1"/>
  <c r="T536" i="4"/>
  <c r="U536" i="4" s="1"/>
  <c r="T537" i="4"/>
  <c r="U537" i="4" s="1"/>
  <c r="T746" i="4"/>
  <c r="U746" i="4" s="1"/>
  <c r="T747" i="4"/>
  <c r="U747" i="4" s="1"/>
  <c r="T748" i="4"/>
  <c r="U748" i="4" s="1"/>
  <c r="Q103" i="4" l="1"/>
  <c r="R103" i="4"/>
  <c r="S103" i="4" s="1"/>
  <c r="L103" i="4" s="1"/>
  <c r="Q102" i="4"/>
  <c r="R102" i="4"/>
  <c r="S102" i="4" s="1"/>
  <c r="L102" i="4" s="1"/>
  <c r="Q101" i="4"/>
  <c r="R101" i="4"/>
  <c r="S101" i="4" s="1"/>
  <c r="L101" i="4" s="1"/>
  <c r="Q100" i="4"/>
  <c r="R100" i="4"/>
  <c r="S100" i="4" s="1"/>
  <c r="L100" i="4" s="1"/>
  <c r="Q99" i="4"/>
  <c r="R99" i="4"/>
  <c r="S99" i="4" s="1"/>
  <c r="L99" i="4" s="1"/>
  <c r="R24" i="4"/>
  <c r="S24" i="4" s="1"/>
  <c r="L24" i="4" s="1"/>
  <c r="R14" i="4"/>
  <c r="S14" i="4" s="1"/>
  <c r="L14" i="4" s="1"/>
  <c r="Q14" i="4"/>
  <c r="R15" i="4"/>
  <c r="S15" i="4" s="1"/>
  <c r="L15" i="4" s="1"/>
  <c r="Q15" i="4"/>
  <c r="R16" i="4"/>
  <c r="S16" i="4" s="1"/>
  <c r="L16" i="4" s="1"/>
  <c r="Q16" i="4"/>
  <c r="R17" i="4"/>
  <c r="S17" i="4" s="1"/>
  <c r="L17" i="4" s="1"/>
  <c r="Q17" i="4"/>
  <c r="R18" i="4"/>
  <c r="S18" i="4" s="1"/>
  <c r="L18" i="4" s="1"/>
  <c r="Q18" i="4"/>
  <c r="R19" i="4"/>
  <c r="S19" i="4" s="1"/>
  <c r="L19" i="4" s="1"/>
  <c r="Q19" i="4"/>
  <c r="R20" i="4"/>
  <c r="S20" i="4" s="1"/>
  <c r="L20" i="4" s="1"/>
  <c r="Q20" i="4"/>
  <c r="R21" i="4"/>
  <c r="S21" i="4" s="1"/>
  <c r="L21" i="4" s="1"/>
  <c r="Q21" i="4"/>
  <c r="R22" i="4"/>
  <c r="S22" i="4" s="1"/>
  <c r="L22" i="4" s="1"/>
  <c r="Q22" i="4"/>
  <c r="R23" i="4"/>
  <c r="S23" i="4" s="1"/>
  <c r="L23" i="4" s="1"/>
  <c r="Q23" i="4"/>
  <c r="R25" i="4"/>
  <c r="S25" i="4" s="1"/>
  <c r="L25" i="4" s="1"/>
  <c r="Q25" i="4"/>
  <c r="R26" i="4"/>
  <c r="S26" i="4" s="1"/>
  <c r="L26" i="4" s="1"/>
  <c r="Q26" i="4"/>
  <c r="R27" i="4"/>
  <c r="S27" i="4" s="1"/>
  <c r="L27" i="4" s="1"/>
  <c r="Q27" i="4"/>
  <c r="R28" i="4"/>
  <c r="S28" i="4" s="1"/>
  <c r="L28" i="4" s="1"/>
  <c r="Q28" i="4"/>
  <c r="R29" i="4"/>
  <c r="S29" i="4" s="1"/>
  <c r="L29" i="4" s="1"/>
  <c r="Q29" i="4"/>
  <c r="R30" i="4"/>
  <c r="S30" i="4" s="1"/>
  <c r="L30" i="4" s="1"/>
  <c r="R31" i="4"/>
  <c r="S31" i="4" s="1"/>
  <c r="L31" i="4" s="1"/>
  <c r="Q31" i="4"/>
  <c r="R32" i="4"/>
  <c r="S32" i="4" s="1"/>
  <c r="L32" i="4" s="1"/>
  <c r="Q32" i="4"/>
  <c r="R33" i="4"/>
  <c r="S33" i="4" s="1"/>
  <c r="L33" i="4" s="1"/>
  <c r="Q33" i="4"/>
  <c r="R34" i="4"/>
  <c r="S34" i="4" s="1"/>
  <c r="L34" i="4" s="1"/>
  <c r="Q34" i="4"/>
  <c r="R35" i="4"/>
  <c r="S35" i="4" s="1"/>
  <c r="L35" i="4" s="1"/>
  <c r="Q35" i="4"/>
  <c r="R36" i="4"/>
  <c r="S36" i="4" s="1"/>
  <c r="L36" i="4" s="1"/>
  <c r="Q36" i="4"/>
  <c r="R37" i="4"/>
  <c r="S37" i="4" s="1"/>
  <c r="L37" i="4" s="1"/>
  <c r="Q37" i="4"/>
  <c r="R38" i="4"/>
  <c r="S38" i="4" s="1"/>
  <c r="L38" i="4" s="1"/>
  <c r="Q38" i="4"/>
  <c r="R39" i="4"/>
  <c r="S39" i="4" s="1"/>
  <c r="L39" i="4" s="1"/>
  <c r="Q39" i="4"/>
  <c r="R40" i="4"/>
  <c r="S40" i="4" s="1"/>
  <c r="L40" i="4" s="1"/>
  <c r="Q40" i="4"/>
  <c r="R41" i="4"/>
  <c r="S41" i="4" s="1"/>
  <c r="L41" i="4" s="1"/>
  <c r="Q41" i="4"/>
  <c r="R42" i="4"/>
  <c r="S42" i="4" s="1"/>
  <c r="L42" i="4" s="1"/>
  <c r="R43" i="4"/>
  <c r="S43" i="4" s="1"/>
  <c r="L43" i="4" s="1"/>
  <c r="Q43" i="4"/>
  <c r="R44" i="4"/>
  <c r="S44" i="4" s="1"/>
  <c r="L44" i="4" s="1"/>
  <c r="Q44" i="4"/>
  <c r="R45" i="4"/>
  <c r="S45" i="4" s="1"/>
  <c r="L45" i="4" s="1"/>
  <c r="Q45" i="4"/>
  <c r="R46" i="4"/>
  <c r="S46" i="4" s="1"/>
  <c r="L46" i="4" s="1"/>
  <c r="Q46" i="4"/>
  <c r="R47" i="4"/>
  <c r="S47" i="4" s="1"/>
  <c r="L47" i="4" s="1"/>
  <c r="Q47" i="4"/>
  <c r="R48" i="4"/>
  <c r="S48" i="4" s="1"/>
  <c r="L48" i="4" s="1"/>
  <c r="R49" i="4"/>
  <c r="S49" i="4" s="1"/>
  <c r="L49" i="4" s="1"/>
  <c r="Q49" i="4"/>
  <c r="R50" i="4"/>
  <c r="S50" i="4" s="1"/>
  <c r="L50" i="4" s="1"/>
  <c r="Q50" i="4"/>
  <c r="R51" i="4"/>
  <c r="S51" i="4" s="1"/>
  <c r="L51" i="4" s="1"/>
  <c r="Q51" i="4"/>
  <c r="R52" i="4"/>
  <c r="S52" i="4" s="1"/>
  <c r="L52" i="4" s="1"/>
  <c r="Q52" i="4"/>
  <c r="R53" i="4"/>
  <c r="S53" i="4" s="1"/>
  <c r="L53" i="4" s="1"/>
  <c r="Q53" i="4"/>
  <c r="R54" i="4"/>
  <c r="S54" i="4" s="1"/>
  <c r="L54" i="4" s="1"/>
  <c r="Q54" i="4"/>
  <c r="R55" i="4"/>
  <c r="S55" i="4" s="1"/>
  <c r="L55" i="4" s="1"/>
  <c r="Q55" i="4"/>
  <c r="R56" i="4"/>
  <c r="S56" i="4" s="1"/>
  <c r="L56" i="4" s="1"/>
  <c r="Q56" i="4"/>
  <c r="R57" i="4"/>
  <c r="S57" i="4" s="1"/>
  <c r="L57" i="4" s="1"/>
  <c r="R58" i="4"/>
  <c r="S58" i="4" s="1"/>
  <c r="L58" i="4" s="1"/>
  <c r="Q58" i="4"/>
  <c r="R59" i="4"/>
  <c r="S59" i="4" s="1"/>
  <c r="L59" i="4" s="1"/>
  <c r="Q59" i="4"/>
  <c r="R60" i="4"/>
  <c r="S60" i="4" s="1"/>
  <c r="L60" i="4" s="1"/>
  <c r="Q60" i="4"/>
  <c r="R61" i="4"/>
  <c r="S61" i="4" s="1"/>
  <c r="L61" i="4" s="1"/>
  <c r="Q61" i="4"/>
  <c r="R62" i="4"/>
  <c r="S62" i="4" s="1"/>
  <c r="L62" i="4" s="1"/>
  <c r="Q62" i="4"/>
  <c r="R63" i="4"/>
  <c r="S63" i="4" s="1"/>
  <c r="L63" i="4" s="1"/>
  <c r="Q63" i="4"/>
  <c r="R64" i="4"/>
  <c r="S64" i="4" s="1"/>
  <c r="L64" i="4" s="1"/>
  <c r="Q64" i="4"/>
  <c r="R65" i="4"/>
  <c r="S65" i="4" s="1"/>
  <c r="L65" i="4" s="1"/>
  <c r="R66" i="4"/>
  <c r="S66" i="4" s="1"/>
  <c r="L66" i="4" s="1"/>
  <c r="Q66" i="4"/>
  <c r="R67" i="4"/>
  <c r="S67" i="4" s="1"/>
  <c r="L67" i="4" s="1"/>
  <c r="Q67" i="4"/>
  <c r="R68" i="4"/>
  <c r="S68" i="4" s="1"/>
  <c r="L68" i="4" s="1"/>
  <c r="Q68" i="4"/>
  <c r="R69" i="4"/>
  <c r="S69" i="4" s="1"/>
  <c r="L69" i="4" s="1"/>
  <c r="Q69" i="4"/>
  <c r="R70" i="4"/>
  <c r="S70" i="4" s="1"/>
  <c r="L70" i="4" s="1"/>
  <c r="Q70" i="4"/>
  <c r="R71" i="4"/>
  <c r="S71" i="4" s="1"/>
  <c r="L71" i="4" s="1"/>
  <c r="Q71" i="4"/>
  <c r="R72" i="4"/>
  <c r="S72" i="4" s="1"/>
  <c r="L72" i="4" s="1"/>
  <c r="Q72" i="4"/>
  <c r="R73" i="4"/>
  <c r="S73" i="4" s="1"/>
  <c r="L73" i="4" s="1"/>
  <c r="Q73" i="4"/>
  <c r="R74" i="4"/>
  <c r="S74" i="4" s="1"/>
  <c r="L74" i="4" s="1"/>
  <c r="R76" i="4"/>
  <c r="S76" i="4" s="1"/>
  <c r="L76" i="4" s="1"/>
  <c r="Q76" i="4"/>
  <c r="R77" i="4"/>
  <c r="S77" i="4" s="1"/>
  <c r="L77" i="4" s="1"/>
  <c r="Q77" i="4"/>
  <c r="R78" i="4"/>
  <c r="S78" i="4" s="1"/>
  <c r="L78" i="4" s="1"/>
  <c r="Q78" i="4"/>
  <c r="R80" i="4"/>
  <c r="S80" i="4" s="1"/>
  <c r="L80" i="4" s="1"/>
  <c r="Q80" i="4"/>
  <c r="R81" i="4"/>
  <c r="S81" i="4" s="1"/>
  <c r="L81" i="4" s="1"/>
  <c r="Q81" i="4"/>
  <c r="R83" i="4"/>
  <c r="S83" i="4" s="1"/>
  <c r="L83" i="4" s="1"/>
  <c r="R84" i="4"/>
  <c r="S84" i="4" s="1"/>
  <c r="L84" i="4" s="1"/>
  <c r="R85" i="4"/>
  <c r="S85" i="4" s="1"/>
  <c r="L85" i="4" s="1"/>
  <c r="Q85" i="4"/>
  <c r="R86" i="4"/>
  <c r="S86" i="4" s="1"/>
  <c r="L86" i="4" s="1"/>
  <c r="R87" i="4"/>
  <c r="S87" i="4" s="1"/>
  <c r="L87" i="4" s="1"/>
  <c r="Q87" i="4"/>
  <c r="R88" i="4"/>
  <c r="S88" i="4" s="1"/>
  <c r="L88" i="4" s="1"/>
  <c r="Q88" i="4"/>
  <c r="R89" i="4"/>
  <c r="S89" i="4" s="1"/>
  <c r="L89" i="4" s="1"/>
  <c r="R90" i="4"/>
  <c r="S90" i="4" s="1"/>
  <c r="L90" i="4" s="1"/>
  <c r="Q90" i="4"/>
  <c r="R91" i="4"/>
  <c r="S91" i="4" s="1"/>
  <c r="L91" i="4" s="1"/>
  <c r="Q91" i="4"/>
  <c r="R92" i="4"/>
  <c r="S92" i="4" s="1"/>
  <c r="L92" i="4" s="1"/>
  <c r="Q92" i="4"/>
  <c r="R93" i="4"/>
  <c r="S93" i="4" s="1"/>
  <c r="L93" i="4" s="1"/>
  <c r="R94" i="4"/>
  <c r="S94" i="4" s="1"/>
  <c r="L94" i="4" s="1"/>
  <c r="Q94" i="4"/>
  <c r="R95" i="4"/>
  <c r="S95" i="4" s="1"/>
  <c r="L95" i="4" s="1"/>
  <c r="R96" i="4"/>
  <c r="S96" i="4" s="1"/>
  <c r="L96" i="4" s="1"/>
  <c r="Q96" i="4"/>
  <c r="R97" i="4"/>
  <c r="S97" i="4" s="1"/>
  <c r="L97" i="4" s="1"/>
  <c r="Q97" i="4"/>
  <c r="R98" i="4"/>
  <c r="S98" i="4" s="1"/>
  <c r="L98" i="4" s="1"/>
  <c r="Q98" i="4"/>
  <c r="R104" i="4"/>
  <c r="S104" i="4" s="1"/>
  <c r="L104" i="4" s="1"/>
  <c r="Q104" i="4"/>
  <c r="R105" i="4"/>
  <c r="S105" i="4" s="1"/>
  <c r="L105" i="4" s="1"/>
  <c r="R106" i="4"/>
  <c r="S106" i="4" s="1"/>
  <c r="L106" i="4" s="1"/>
  <c r="Q106" i="4"/>
  <c r="R107" i="4"/>
  <c r="S107" i="4" s="1"/>
  <c r="L107" i="4" s="1"/>
  <c r="Q107" i="4"/>
  <c r="R108" i="4"/>
  <c r="S108" i="4" s="1"/>
  <c r="L108" i="4" s="1"/>
  <c r="Q108" i="4"/>
  <c r="R109" i="4"/>
  <c r="S109" i="4" s="1"/>
  <c r="L109" i="4" s="1"/>
  <c r="Q109" i="4"/>
  <c r="R110" i="4"/>
  <c r="S110" i="4" s="1"/>
  <c r="L110" i="4" s="1"/>
  <c r="Q110" i="4"/>
  <c r="R111" i="4"/>
  <c r="S111" i="4" s="1"/>
  <c r="L111" i="4" s="1"/>
  <c r="R112" i="4"/>
  <c r="S112" i="4" s="1"/>
  <c r="L112" i="4" s="1"/>
  <c r="Q112" i="4"/>
  <c r="R113" i="4"/>
  <c r="S113" i="4" s="1"/>
  <c r="L113" i="4" s="1"/>
  <c r="R114" i="4"/>
  <c r="S114" i="4" s="1"/>
  <c r="L114" i="4" s="1"/>
  <c r="Q114" i="4"/>
  <c r="R115" i="4"/>
  <c r="S115" i="4" s="1"/>
  <c r="L115" i="4" s="1"/>
  <c r="Q115" i="4"/>
  <c r="R116" i="4"/>
  <c r="S116" i="4" s="1"/>
  <c r="L116" i="4" s="1"/>
  <c r="Q116" i="4"/>
  <c r="R117" i="4"/>
  <c r="S117" i="4" s="1"/>
  <c r="L117" i="4" s="1"/>
  <c r="Q117" i="4"/>
  <c r="S118" i="4"/>
  <c r="L118" i="4" s="1"/>
  <c r="Q118" i="4"/>
  <c r="R119" i="4"/>
  <c r="S119" i="4" s="1"/>
  <c r="L119" i="4" s="1"/>
  <c r="Q119" i="4"/>
  <c r="R120" i="4"/>
  <c r="S120" i="4" s="1"/>
  <c r="L120" i="4" s="1"/>
  <c r="Q120" i="4"/>
  <c r="R121" i="4"/>
  <c r="S121" i="4" s="1"/>
  <c r="L121" i="4" s="1"/>
  <c r="Q121" i="4"/>
  <c r="R123" i="4"/>
  <c r="S123" i="4" s="1"/>
  <c r="L123" i="4" s="1"/>
  <c r="Q123" i="4"/>
  <c r="R124" i="4"/>
  <c r="S124" i="4" s="1"/>
  <c r="L124" i="4" s="1"/>
  <c r="R125" i="4"/>
  <c r="S125" i="4" s="1"/>
  <c r="L125" i="4" s="1"/>
  <c r="Q125" i="4"/>
  <c r="R126" i="4"/>
  <c r="S126" i="4" s="1"/>
  <c r="L126" i="4" s="1"/>
  <c r="R127" i="4"/>
  <c r="S127" i="4" s="1"/>
  <c r="L127" i="4" s="1"/>
  <c r="Q127" i="4"/>
  <c r="R128" i="4"/>
  <c r="S128" i="4" s="1"/>
  <c r="L128" i="4" s="1"/>
  <c r="Q128" i="4"/>
  <c r="R129" i="4"/>
  <c r="S129" i="4" s="1"/>
  <c r="L129" i="4" s="1"/>
  <c r="Q129" i="4"/>
  <c r="R130" i="4"/>
  <c r="S130" i="4" s="1"/>
  <c r="L130" i="4" s="1"/>
  <c r="Q130" i="4"/>
  <c r="R131" i="4"/>
  <c r="S131" i="4" s="1"/>
  <c r="L131" i="4" s="1"/>
  <c r="Q131" i="4"/>
  <c r="R132" i="4"/>
  <c r="S132" i="4" s="1"/>
  <c r="L132" i="4" s="1"/>
  <c r="Q132" i="4"/>
  <c r="R133" i="4"/>
  <c r="S133" i="4" s="1"/>
  <c r="L133" i="4" s="1"/>
  <c r="Q133" i="4"/>
  <c r="R134" i="4"/>
  <c r="S134" i="4" s="1"/>
  <c r="L134" i="4" s="1"/>
  <c r="Q134" i="4"/>
  <c r="R135" i="4"/>
  <c r="S135" i="4" s="1"/>
  <c r="L135" i="4" s="1"/>
  <c r="Q135" i="4"/>
  <c r="R136" i="4"/>
  <c r="S136" i="4" s="1"/>
  <c r="L136" i="4" s="1"/>
  <c r="R137" i="4"/>
  <c r="S137" i="4" s="1"/>
  <c r="L137" i="4" s="1"/>
  <c r="Q137" i="4"/>
  <c r="R138" i="4"/>
  <c r="S138" i="4" s="1"/>
  <c r="L138" i="4" s="1"/>
  <c r="R139" i="4"/>
  <c r="S139" i="4" s="1"/>
  <c r="L139" i="4" s="1"/>
  <c r="Q139" i="4"/>
  <c r="R140" i="4"/>
  <c r="S140" i="4" s="1"/>
  <c r="L140" i="4" s="1"/>
  <c r="Q140" i="4"/>
  <c r="R141" i="4"/>
  <c r="S141" i="4" s="1"/>
  <c r="L141" i="4" s="1"/>
  <c r="R142" i="4"/>
  <c r="S142" i="4" s="1"/>
  <c r="L142" i="4" s="1"/>
  <c r="Q142" i="4"/>
  <c r="R143" i="4"/>
  <c r="S143" i="4" s="1"/>
  <c r="L143" i="4" s="1"/>
  <c r="Q143" i="4"/>
  <c r="R144" i="4"/>
  <c r="S144" i="4" s="1"/>
  <c r="L144" i="4" s="1"/>
  <c r="Q144" i="4"/>
  <c r="R145" i="4"/>
  <c r="S145" i="4" s="1"/>
  <c r="L145" i="4" s="1"/>
  <c r="Q145" i="4"/>
  <c r="R146" i="4"/>
  <c r="S146" i="4" s="1"/>
  <c r="L146" i="4" s="1"/>
  <c r="Q146" i="4"/>
  <c r="R147" i="4"/>
  <c r="S147" i="4" s="1"/>
  <c r="L147" i="4" s="1"/>
  <c r="R148" i="4"/>
  <c r="S148" i="4" s="1"/>
  <c r="L148" i="4" s="1"/>
  <c r="Q148" i="4"/>
  <c r="R149" i="4"/>
  <c r="S149" i="4" s="1"/>
  <c r="L149" i="4" s="1"/>
  <c r="R150" i="4"/>
  <c r="S150" i="4" s="1"/>
  <c r="L150" i="4" s="1"/>
  <c r="R151" i="4"/>
  <c r="S151" i="4" s="1"/>
  <c r="L151" i="4" s="1"/>
  <c r="Q151" i="4"/>
  <c r="R152" i="4"/>
  <c r="S152" i="4" s="1"/>
  <c r="L152" i="4" s="1"/>
  <c r="R153" i="4"/>
  <c r="S153" i="4" s="1"/>
  <c r="L153" i="4" s="1"/>
  <c r="R154" i="4"/>
  <c r="S154" i="4" s="1"/>
  <c r="L154" i="4" s="1"/>
  <c r="Q154" i="4"/>
  <c r="R155" i="4"/>
  <c r="S155" i="4" s="1"/>
  <c r="L155" i="4" s="1"/>
  <c r="Q155" i="4"/>
  <c r="R156" i="4"/>
  <c r="S156" i="4" s="1"/>
  <c r="L156" i="4" s="1"/>
  <c r="Q156" i="4"/>
  <c r="R157" i="4"/>
  <c r="S157" i="4" s="1"/>
  <c r="L157" i="4" s="1"/>
  <c r="Q157" i="4"/>
  <c r="R158" i="4"/>
  <c r="S158" i="4" s="1"/>
  <c r="L158" i="4" s="1"/>
  <c r="R159" i="4"/>
  <c r="S159" i="4" s="1"/>
  <c r="L159" i="4" s="1"/>
  <c r="Q159" i="4"/>
  <c r="R160" i="4"/>
  <c r="S160" i="4" s="1"/>
  <c r="L160" i="4" s="1"/>
  <c r="R161" i="4"/>
  <c r="S161" i="4" s="1"/>
  <c r="L161" i="4" s="1"/>
  <c r="Q161" i="4"/>
  <c r="R162" i="4"/>
  <c r="S162" i="4" s="1"/>
  <c r="L162" i="4" s="1"/>
  <c r="Q162" i="4"/>
  <c r="R163" i="4"/>
  <c r="S163" i="4" s="1"/>
  <c r="L163" i="4" s="1"/>
  <c r="Q163" i="4"/>
  <c r="R164" i="4"/>
  <c r="S164" i="4" s="1"/>
  <c r="L164" i="4" s="1"/>
  <c r="R165" i="4"/>
  <c r="S165" i="4" s="1"/>
  <c r="L165" i="4" s="1"/>
  <c r="Q165" i="4"/>
  <c r="R166" i="4"/>
  <c r="S166" i="4" s="1"/>
  <c r="L166" i="4" s="1"/>
  <c r="Q166" i="4"/>
  <c r="R167" i="4"/>
  <c r="S167" i="4" s="1"/>
  <c r="L167" i="4" s="1"/>
  <c r="Q167" i="4"/>
  <c r="R168" i="4"/>
  <c r="S168" i="4" s="1"/>
  <c r="L168" i="4" s="1"/>
  <c r="Q168" i="4"/>
  <c r="R169" i="4"/>
  <c r="S169" i="4" s="1"/>
  <c r="L169" i="4" s="1"/>
  <c r="Q169" i="4"/>
  <c r="R170" i="4"/>
  <c r="S170" i="4" s="1"/>
  <c r="L170" i="4" s="1"/>
  <c r="R171" i="4"/>
  <c r="S171" i="4" s="1"/>
  <c r="L171" i="4" s="1"/>
  <c r="Q171" i="4"/>
  <c r="R172" i="4"/>
  <c r="S172" i="4" s="1"/>
  <c r="L172" i="4" s="1"/>
  <c r="S173" i="4"/>
  <c r="L173" i="4" s="1"/>
  <c r="Q173" i="4"/>
  <c r="R174" i="4"/>
  <c r="S174" i="4" s="1"/>
  <c r="L174" i="4" s="1"/>
  <c r="Q174" i="4"/>
  <c r="R175" i="4"/>
  <c r="S175" i="4" s="1"/>
  <c r="L175" i="4" s="1"/>
  <c r="Q175" i="4"/>
  <c r="R176" i="4"/>
  <c r="S176" i="4" s="1"/>
  <c r="L176" i="4" s="1"/>
  <c r="R177" i="4"/>
  <c r="S177" i="4" s="1"/>
  <c r="L177" i="4" s="1"/>
  <c r="Q177" i="4"/>
  <c r="R178" i="4"/>
  <c r="S178" i="4" s="1"/>
  <c r="L178" i="4" s="1"/>
  <c r="Q178" i="4"/>
  <c r="R179" i="4"/>
  <c r="S179" i="4" s="1"/>
  <c r="L179" i="4" s="1"/>
  <c r="Q179" i="4"/>
  <c r="R180" i="4"/>
  <c r="S180" i="4" s="1"/>
  <c r="L180" i="4" s="1"/>
  <c r="Q180" i="4"/>
  <c r="R181" i="4"/>
  <c r="S181" i="4" s="1"/>
  <c r="L181" i="4" s="1"/>
  <c r="R182" i="4"/>
  <c r="S182" i="4" s="1"/>
  <c r="L182" i="4" s="1"/>
  <c r="R183" i="4"/>
  <c r="S183" i="4" s="1"/>
  <c r="L183" i="4" s="1"/>
  <c r="Q183" i="4"/>
  <c r="R184" i="4"/>
  <c r="S184" i="4" s="1"/>
  <c r="L184" i="4" s="1"/>
  <c r="R185" i="4"/>
  <c r="S185" i="4" s="1"/>
  <c r="L185" i="4" s="1"/>
  <c r="Q185" i="4"/>
  <c r="R186" i="4"/>
  <c r="S186" i="4" s="1"/>
  <c r="L186" i="4" s="1"/>
  <c r="Q186" i="4"/>
  <c r="R187" i="4"/>
  <c r="S187" i="4" s="1"/>
  <c r="L187" i="4" s="1"/>
  <c r="R188" i="4"/>
  <c r="S188" i="4" s="1"/>
  <c r="L188" i="4" s="1"/>
  <c r="R189" i="4"/>
  <c r="S189" i="4" s="1"/>
  <c r="L189" i="4" s="1"/>
  <c r="Q189" i="4"/>
  <c r="R190" i="4"/>
  <c r="S190" i="4" s="1"/>
  <c r="L190" i="4" s="1"/>
  <c r="Q190" i="4"/>
  <c r="R191" i="4"/>
  <c r="S191" i="4" s="1"/>
  <c r="L191" i="4" s="1"/>
  <c r="Q191" i="4"/>
  <c r="R192" i="4"/>
  <c r="S192" i="4" s="1"/>
  <c r="L192" i="4" s="1"/>
  <c r="Q192" i="4"/>
  <c r="R193" i="4"/>
  <c r="S193" i="4" s="1"/>
  <c r="L193" i="4" s="1"/>
  <c r="R194" i="4"/>
  <c r="S194" i="4" s="1"/>
  <c r="L194" i="4" s="1"/>
  <c r="R195" i="4"/>
  <c r="S195" i="4" s="1"/>
  <c r="L195" i="4" s="1"/>
  <c r="Q195" i="4"/>
  <c r="R196" i="4"/>
  <c r="S196" i="4" s="1"/>
  <c r="L196" i="4" s="1"/>
  <c r="R197" i="4"/>
  <c r="S197" i="4" s="1"/>
  <c r="L197" i="4" s="1"/>
  <c r="R198" i="4"/>
  <c r="S198" i="4" s="1"/>
  <c r="L198" i="4" s="1"/>
  <c r="Q198" i="4"/>
  <c r="R200" i="4"/>
  <c r="S200" i="4" s="1"/>
  <c r="L200" i="4" s="1"/>
  <c r="Q200" i="4"/>
  <c r="R201" i="4"/>
  <c r="S201" i="4" s="1"/>
  <c r="L201" i="4" s="1"/>
  <c r="Q201" i="4"/>
  <c r="R202" i="4"/>
  <c r="S202" i="4" s="1"/>
  <c r="L202" i="4" s="1"/>
  <c r="Q202" i="4"/>
  <c r="R203" i="4"/>
  <c r="S203" i="4" s="1"/>
  <c r="L203" i="4" s="1"/>
  <c r="R204" i="4"/>
  <c r="S204" i="4" s="1"/>
  <c r="L204" i="4" s="1"/>
  <c r="Q204" i="4"/>
  <c r="R205" i="4"/>
  <c r="S205" i="4" s="1"/>
  <c r="L205" i="4" s="1"/>
  <c r="Q205" i="4"/>
  <c r="R206" i="4"/>
  <c r="S206" i="4" s="1"/>
  <c r="L206" i="4" s="1"/>
  <c r="Q206" i="4"/>
  <c r="R207" i="4"/>
  <c r="S207" i="4" s="1"/>
  <c r="L207" i="4" s="1"/>
  <c r="Q207" i="4"/>
  <c r="R208" i="4"/>
  <c r="S208" i="4" s="1"/>
  <c r="L208" i="4" s="1"/>
  <c r="R209" i="4"/>
  <c r="S209" i="4" s="1"/>
  <c r="L209" i="4" s="1"/>
  <c r="Q209" i="4"/>
  <c r="R210" i="4"/>
  <c r="S210" i="4" s="1"/>
  <c r="L210" i="4" s="1"/>
  <c r="Q210" i="4"/>
  <c r="R211" i="4"/>
  <c r="S211" i="4" s="1"/>
  <c r="L211" i="4" s="1"/>
  <c r="Q211" i="4"/>
  <c r="R212" i="4"/>
  <c r="S212" i="4" s="1"/>
  <c r="L212" i="4" s="1"/>
  <c r="Q212" i="4"/>
  <c r="R213" i="4"/>
  <c r="S213" i="4" s="1"/>
  <c r="L213" i="4" s="1"/>
  <c r="Q213" i="4"/>
  <c r="R214" i="4"/>
  <c r="S214" i="4" s="1"/>
  <c r="L214" i="4" s="1"/>
  <c r="R215" i="4"/>
  <c r="S215" i="4" s="1"/>
  <c r="L215" i="4" s="1"/>
  <c r="R216" i="4"/>
  <c r="S216" i="4" s="1"/>
  <c r="L216" i="4" s="1"/>
  <c r="R217" i="4"/>
  <c r="S217" i="4" s="1"/>
  <c r="L217" i="4" s="1"/>
  <c r="Q217" i="4"/>
  <c r="R218" i="4"/>
  <c r="S218" i="4" s="1"/>
  <c r="L218" i="4" s="1"/>
  <c r="Q218" i="4"/>
  <c r="R219" i="4"/>
  <c r="S219" i="4" s="1"/>
  <c r="L219" i="4" s="1"/>
  <c r="R220" i="4"/>
  <c r="S220" i="4" s="1"/>
  <c r="L220" i="4" s="1"/>
  <c r="Q220" i="4"/>
  <c r="R221" i="4"/>
  <c r="S221" i="4" s="1"/>
  <c r="L221" i="4" s="1"/>
  <c r="Q221" i="4"/>
  <c r="R222" i="4"/>
  <c r="S222" i="4" s="1"/>
  <c r="L222" i="4" s="1"/>
  <c r="Q222" i="4"/>
  <c r="R223" i="4"/>
  <c r="S223" i="4" s="1"/>
  <c r="L223" i="4" s="1"/>
  <c r="Q223" i="4"/>
  <c r="R224" i="4"/>
  <c r="S224" i="4" s="1"/>
  <c r="L224" i="4" s="1"/>
  <c r="R225" i="4"/>
  <c r="S225" i="4" s="1"/>
  <c r="L225" i="4" s="1"/>
  <c r="R226" i="4"/>
  <c r="S226" i="4" s="1"/>
  <c r="L226" i="4" s="1"/>
  <c r="Q226" i="4"/>
  <c r="R227" i="4"/>
  <c r="S227" i="4" s="1"/>
  <c r="L227" i="4" s="1"/>
  <c r="Q227" i="4"/>
  <c r="R228" i="4"/>
  <c r="S228" i="4" s="1"/>
  <c r="L228" i="4" s="1"/>
  <c r="Q228" i="4"/>
  <c r="R229" i="4"/>
  <c r="S229" i="4" s="1"/>
  <c r="L229" i="4" s="1"/>
  <c r="Q229" i="4"/>
  <c r="R231" i="4"/>
  <c r="S231" i="4" s="1"/>
  <c r="L231" i="4" s="1"/>
  <c r="Q231" i="4"/>
  <c r="R232" i="4"/>
  <c r="S232" i="4" s="1"/>
  <c r="L232" i="4" s="1"/>
  <c r="Q232" i="4"/>
  <c r="R233" i="4"/>
  <c r="S233" i="4" s="1"/>
  <c r="L233" i="4" s="1"/>
  <c r="Q233" i="4"/>
  <c r="R234" i="4"/>
  <c r="S234" i="4" s="1"/>
  <c r="L234" i="4" s="1"/>
  <c r="Q234" i="4"/>
  <c r="R235" i="4"/>
  <c r="S235" i="4" s="1"/>
  <c r="L235" i="4" s="1"/>
  <c r="Q235" i="4"/>
  <c r="R236" i="4"/>
  <c r="S236" i="4" s="1"/>
  <c r="L236" i="4" s="1"/>
  <c r="R237" i="4"/>
  <c r="S237" i="4" s="1"/>
  <c r="L237" i="4" s="1"/>
  <c r="Q237" i="4"/>
  <c r="R238" i="4"/>
  <c r="S238" i="4" s="1"/>
  <c r="L238" i="4" s="1"/>
  <c r="R239" i="4"/>
  <c r="S239" i="4" s="1"/>
  <c r="L239" i="4" s="1"/>
  <c r="Q239" i="4"/>
  <c r="R240" i="4"/>
  <c r="S240" i="4" s="1"/>
  <c r="L240" i="4" s="1"/>
  <c r="Q240" i="4"/>
  <c r="R241" i="4"/>
  <c r="S241" i="4" s="1"/>
  <c r="L241" i="4" s="1"/>
  <c r="Q241" i="4"/>
  <c r="R242" i="4"/>
  <c r="S242" i="4" s="1"/>
  <c r="L242" i="4" s="1"/>
  <c r="R243" i="4"/>
  <c r="S243" i="4" s="1"/>
  <c r="L243" i="4" s="1"/>
  <c r="Q243" i="4"/>
  <c r="R244" i="4"/>
  <c r="S244" i="4" s="1"/>
  <c r="L244" i="4" s="1"/>
  <c r="R245" i="4"/>
  <c r="S245" i="4" s="1"/>
  <c r="L245" i="4" s="1"/>
  <c r="R246" i="4"/>
  <c r="S246" i="4" s="1"/>
  <c r="L246" i="4" s="1"/>
  <c r="Q246" i="4"/>
  <c r="R247" i="4"/>
  <c r="S247" i="4" s="1"/>
  <c r="L247" i="4" s="1"/>
  <c r="R248" i="4"/>
  <c r="S248" i="4" s="1"/>
  <c r="L248" i="4" s="1"/>
  <c r="Q248" i="4"/>
  <c r="R249" i="4"/>
  <c r="S249" i="4" s="1"/>
  <c r="L249" i="4" s="1"/>
  <c r="R250" i="4"/>
  <c r="S250" i="4" s="1"/>
  <c r="L250" i="4" s="1"/>
  <c r="Q250" i="4"/>
  <c r="R251" i="4"/>
  <c r="S251" i="4" s="1"/>
  <c r="L251" i="4" s="1"/>
  <c r="Q251" i="4"/>
  <c r="R252" i="4"/>
  <c r="S252" i="4" s="1"/>
  <c r="L252" i="4" s="1"/>
  <c r="Q252" i="4"/>
  <c r="R253" i="4"/>
  <c r="S253" i="4" s="1"/>
  <c r="L253" i="4" s="1"/>
  <c r="R254" i="4"/>
  <c r="S254" i="4" s="1"/>
  <c r="L254" i="4" s="1"/>
  <c r="Q254" i="4"/>
  <c r="R255" i="4"/>
  <c r="S255" i="4" s="1"/>
  <c r="L255" i="4" s="1"/>
  <c r="Q255" i="4"/>
  <c r="R256" i="4"/>
  <c r="S256" i="4" s="1"/>
  <c r="L256" i="4" s="1"/>
  <c r="Q256" i="4"/>
  <c r="R257" i="4"/>
  <c r="S257" i="4" s="1"/>
  <c r="L257" i="4" s="1"/>
  <c r="Q257" i="4"/>
  <c r="R258" i="4"/>
  <c r="S258" i="4" s="1"/>
  <c r="L258" i="4" s="1"/>
  <c r="Q258" i="4"/>
  <c r="R259" i="4"/>
  <c r="S259" i="4" s="1"/>
  <c r="L259" i="4" s="1"/>
  <c r="R260" i="4"/>
  <c r="S260" i="4" s="1"/>
  <c r="L260" i="4" s="1"/>
  <c r="Q260" i="4"/>
  <c r="R261" i="4"/>
  <c r="S261" i="4" s="1"/>
  <c r="L261" i="4" s="1"/>
  <c r="R262" i="4"/>
  <c r="S262" i="4" s="1"/>
  <c r="L262" i="4" s="1"/>
  <c r="Q262" i="4"/>
  <c r="R263" i="4"/>
  <c r="S263" i="4" s="1"/>
  <c r="L263" i="4" s="1"/>
  <c r="Q263" i="4"/>
  <c r="R264" i="4"/>
  <c r="S264" i="4" s="1"/>
  <c r="L264" i="4" s="1"/>
  <c r="Q264" i="4"/>
  <c r="R265" i="4"/>
  <c r="S265" i="4" s="1"/>
  <c r="L265" i="4" s="1"/>
  <c r="R266" i="4"/>
  <c r="S266" i="4" s="1"/>
  <c r="L266" i="4" s="1"/>
  <c r="Q266" i="4"/>
  <c r="R267" i="4"/>
  <c r="S267" i="4" s="1"/>
  <c r="L267" i="4" s="1"/>
  <c r="Q267" i="4"/>
  <c r="R268" i="4"/>
  <c r="S268" i="4" s="1"/>
  <c r="L268" i="4" s="1"/>
  <c r="R269" i="4"/>
  <c r="S269" i="4" s="1"/>
  <c r="L269" i="4" s="1"/>
  <c r="Q269" i="4"/>
  <c r="R270" i="4"/>
  <c r="S270" i="4" s="1"/>
  <c r="L270" i="4" s="1"/>
  <c r="Q270" i="4"/>
  <c r="R271" i="4"/>
  <c r="S271" i="4" s="1"/>
  <c r="L271" i="4" s="1"/>
  <c r="R272" i="4"/>
  <c r="S272" i="4" s="1"/>
  <c r="L272" i="4" s="1"/>
  <c r="Q272" i="4"/>
  <c r="R273" i="4"/>
  <c r="S273" i="4" s="1"/>
  <c r="L273" i="4" s="1"/>
  <c r="R274" i="4"/>
  <c r="S274" i="4" s="1"/>
  <c r="L274" i="4" s="1"/>
  <c r="Q274" i="4"/>
  <c r="R275" i="4"/>
  <c r="S275" i="4" s="1"/>
  <c r="L275" i="4" s="1"/>
  <c r="Q275" i="4"/>
  <c r="R276" i="4"/>
  <c r="S276" i="4" s="1"/>
  <c r="L276" i="4" s="1"/>
  <c r="R277" i="4"/>
  <c r="S277" i="4" s="1"/>
  <c r="L277" i="4" s="1"/>
  <c r="R278" i="4"/>
  <c r="S278" i="4" s="1"/>
  <c r="L278" i="4" s="1"/>
  <c r="Q278" i="4"/>
  <c r="R279" i="4"/>
  <c r="S279" i="4" s="1"/>
  <c r="L279" i="4" s="1"/>
  <c r="Q279" i="4"/>
  <c r="R280" i="4"/>
  <c r="S280" i="4" s="1"/>
  <c r="L280" i="4" s="1"/>
  <c r="Q280" i="4"/>
  <c r="R281" i="4"/>
  <c r="S281" i="4" s="1"/>
  <c r="L281" i="4" s="1"/>
  <c r="Q281" i="4"/>
  <c r="R282" i="4"/>
  <c r="S282" i="4" s="1"/>
  <c r="L282" i="4" s="1"/>
  <c r="Q282" i="4"/>
  <c r="R283" i="4"/>
  <c r="S283" i="4" s="1"/>
  <c r="L283" i="4" s="1"/>
  <c r="R284" i="4"/>
  <c r="S284" i="4" s="1"/>
  <c r="L284" i="4" s="1"/>
  <c r="Q284" i="4"/>
  <c r="R285" i="4"/>
  <c r="S285" i="4" s="1"/>
  <c r="L285" i="4" s="1"/>
  <c r="R286" i="4"/>
  <c r="S286" i="4" s="1"/>
  <c r="L286" i="4" s="1"/>
  <c r="Q286" i="4"/>
  <c r="R287" i="4"/>
  <c r="S287" i="4" s="1"/>
  <c r="L287" i="4" s="1"/>
  <c r="Q287" i="4"/>
  <c r="R288" i="4"/>
  <c r="S288" i="4" s="1"/>
  <c r="L288" i="4" s="1"/>
  <c r="Q288" i="4"/>
  <c r="R289" i="4"/>
  <c r="S289" i="4" s="1"/>
  <c r="L289" i="4" s="1"/>
  <c r="R290" i="4"/>
  <c r="S290" i="4" s="1"/>
  <c r="L290" i="4" s="1"/>
  <c r="Q290" i="4"/>
  <c r="R291" i="4"/>
  <c r="S291" i="4" s="1"/>
  <c r="L291" i="4" s="1"/>
  <c r="Q291" i="4"/>
  <c r="R292" i="4"/>
  <c r="S292" i="4" s="1"/>
  <c r="L292" i="4" s="1"/>
  <c r="Q292" i="4"/>
  <c r="R293" i="4"/>
  <c r="S293" i="4" s="1"/>
  <c r="L293" i="4" s="1"/>
  <c r="Q293" i="4"/>
  <c r="R294" i="4"/>
  <c r="S294" i="4" s="1"/>
  <c r="L294" i="4" s="1"/>
  <c r="Q294" i="4"/>
  <c r="R295" i="4"/>
  <c r="S295" i="4" s="1"/>
  <c r="L295" i="4" s="1"/>
  <c r="R296" i="4"/>
  <c r="S296" i="4" s="1"/>
  <c r="L296" i="4" s="1"/>
  <c r="Q296" i="4"/>
  <c r="R297" i="4"/>
  <c r="S297" i="4" s="1"/>
  <c r="L297" i="4" s="1"/>
  <c r="Q297" i="4"/>
  <c r="R298" i="4"/>
  <c r="S298" i="4" s="1"/>
  <c r="L298" i="4" s="1"/>
  <c r="Q298" i="4"/>
  <c r="R299" i="4"/>
  <c r="S299" i="4" s="1"/>
  <c r="L299" i="4" s="1"/>
  <c r="Q299" i="4"/>
  <c r="R300" i="4"/>
  <c r="S300" i="4" s="1"/>
  <c r="L300" i="4" s="1"/>
  <c r="Q300" i="4"/>
  <c r="R301" i="4"/>
  <c r="S301" i="4" s="1"/>
  <c r="L301" i="4" s="1"/>
  <c r="R302" i="4"/>
  <c r="S302" i="4" s="1"/>
  <c r="L302" i="4" s="1"/>
  <c r="Q302" i="4"/>
  <c r="R303" i="4"/>
  <c r="S303" i="4" s="1"/>
  <c r="L303" i="4" s="1"/>
  <c r="Q303" i="4"/>
  <c r="R304" i="4"/>
  <c r="S304" i="4" s="1"/>
  <c r="L304" i="4" s="1"/>
  <c r="Q304" i="4"/>
  <c r="R305" i="4"/>
  <c r="S305" i="4" s="1"/>
  <c r="L305" i="4" s="1"/>
  <c r="Q305" i="4"/>
  <c r="R306" i="4"/>
  <c r="S306" i="4" s="1"/>
  <c r="L306" i="4" s="1"/>
  <c r="Q306" i="4"/>
  <c r="R307" i="4"/>
  <c r="S307" i="4" s="1"/>
  <c r="L307" i="4" s="1"/>
  <c r="R308" i="4"/>
  <c r="S308" i="4" s="1"/>
  <c r="L308" i="4" s="1"/>
  <c r="Q308" i="4"/>
  <c r="R309" i="4"/>
  <c r="S309" i="4" s="1"/>
  <c r="L309" i="4" s="1"/>
  <c r="R310" i="4"/>
  <c r="S310" i="4" s="1"/>
  <c r="L310" i="4" s="1"/>
  <c r="R311" i="4"/>
  <c r="S311" i="4" s="1"/>
  <c r="L311" i="4" s="1"/>
  <c r="Q311" i="4"/>
  <c r="R312" i="4"/>
  <c r="S312" i="4" s="1"/>
  <c r="L312" i="4" s="1"/>
  <c r="Q312" i="4"/>
  <c r="R313" i="4"/>
  <c r="S313" i="4" s="1"/>
  <c r="L313" i="4" s="1"/>
  <c r="R314" i="4"/>
  <c r="S314" i="4" s="1"/>
  <c r="L314" i="4" s="1"/>
  <c r="Q314" i="4"/>
  <c r="R315" i="4"/>
  <c r="S315" i="4" s="1"/>
  <c r="L315" i="4" s="1"/>
  <c r="Q315" i="4"/>
  <c r="R316" i="4"/>
  <c r="S316" i="4" s="1"/>
  <c r="L316" i="4" s="1"/>
  <c r="Q316" i="4"/>
  <c r="R317" i="4"/>
  <c r="S317" i="4" s="1"/>
  <c r="L317" i="4" s="1"/>
  <c r="Q317" i="4"/>
  <c r="R318" i="4"/>
  <c r="S318" i="4" s="1"/>
  <c r="L318" i="4" s="1"/>
  <c r="Q318" i="4"/>
  <c r="R319" i="4"/>
  <c r="S319" i="4" s="1"/>
  <c r="L319" i="4" s="1"/>
  <c r="R320" i="4"/>
  <c r="S320" i="4" s="1"/>
  <c r="L320" i="4" s="1"/>
  <c r="Q320" i="4"/>
  <c r="R321" i="4"/>
  <c r="S321" i="4" s="1"/>
  <c r="L321" i="4" s="1"/>
  <c r="R322" i="4"/>
  <c r="S322" i="4" s="1"/>
  <c r="L322" i="4" s="1"/>
  <c r="Q322" i="4"/>
  <c r="R323" i="4"/>
  <c r="S323" i="4" s="1"/>
  <c r="L323" i="4" s="1"/>
  <c r="Q323" i="4"/>
  <c r="R324" i="4"/>
  <c r="S324" i="4" s="1"/>
  <c r="L324" i="4" s="1"/>
  <c r="Q324" i="4"/>
  <c r="R325" i="4"/>
  <c r="S325" i="4" s="1"/>
  <c r="L325" i="4" s="1"/>
  <c r="R326" i="4"/>
  <c r="S326" i="4" s="1"/>
  <c r="L326" i="4" s="1"/>
  <c r="Q326" i="4"/>
  <c r="R327" i="4"/>
  <c r="S327" i="4" s="1"/>
  <c r="L327" i="4" s="1"/>
  <c r="Q327" i="4"/>
  <c r="R328" i="4"/>
  <c r="S328" i="4" s="1"/>
  <c r="L328" i="4" s="1"/>
  <c r="Q328" i="4"/>
  <c r="R329" i="4"/>
  <c r="S329" i="4" s="1"/>
  <c r="L329" i="4" s="1"/>
  <c r="R330" i="4"/>
  <c r="S330" i="4" s="1"/>
  <c r="L330" i="4" s="1"/>
  <c r="R331" i="4"/>
  <c r="S331" i="4" s="1"/>
  <c r="L331" i="4" s="1"/>
  <c r="Q331" i="4"/>
  <c r="R332" i="4"/>
  <c r="S332" i="4" s="1"/>
  <c r="L332" i="4" s="1"/>
  <c r="R333" i="4"/>
  <c r="S333" i="4" s="1"/>
  <c r="L333" i="4" s="1"/>
  <c r="Q333" i="4"/>
  <c r="R334" i="4"/>
  <c r="S334" i="4" s="1"/>
  <c r="L334" i="4" s="1"/>
  <c r="Q334" i="4"/>
  <c r="R335" i="4"/>
  <c r="S335" i="4" s="1"/>
  <c r="L335" i="4" s="1"/>
  <c r="Q335" i="4"/>
  <c r="R336" i="4"/>
  <c r="S336" i="4" s="1"/>
  <c r="L336" i="4" s="1"/>
  <c r="R337" i="4"/>
  <c r="S337" i="4" s="1"/>
  <c r="L337" i="4" s="1"/>
  <c r="Q337" i="4"/>
  <c r="R338" i="4"/>
  <c r="S338" i="4" s="1"/>
  <c r="L338" i="4" s="1"/>
  <c r="Q338" i="4"/>
  <c r="R339" i="4"/>
  <c r="S339" i="4" s="1"/>
  <c r="L339" i="4" s="1"/>
  <c r="Q339" i="4"/>
  <c r="R340" i="4"/>
  <c r="S340" i="4" s="1"/>
  <c r="L340" i="4" s="1"/>
  <c r="Q340" i="4"/>
  <c r="R341" i="4"/>
  <c r="S341" i="4" s="1"/>
  <c r="L341" i="4" s="1"/>
  <c r="Q341" i="4"/>
  <c r="R342" i="4"/>
  <c r="S342" i="4" s="1"/>
  <c r="L342" i="4" s="1"/>
  <c r="R343" i="4"/>
  <c r="S343" i="4" s="1"/>
  <c r="L343" i="4" s="1"/>
  <c r="Q343" i="4"/>
  <c r="R344" i="4"/>
  <c r="S344" i="4" s="1"/>
  <c r="L344" i="4" s="1"/>
  <c r="R345" i="4"/>
  <c r="S345" i="4" s="1"/>
  <c r="L345" i="4" s="1"/>
  <c r="R346" i="4"/>
  <c r="S346" i="4" s="1"/>
  <c r="L346" i="4" s="1"/>
  <c r="Q346" i="4"/>
  <c r="R347" i="4"/>
  <c r="S347" i="4" s="1"/>
  <c r="L347" i="4" s="1"/>
  <c r="Q347" i="4"/>
  <c r="R348" i="4"/>
  <c r="S348" i="4" s="1"/>
  <c r="L348" i="4" s="1"/>
  <c r="Q348" i="4"/>
  <c r="R349" i="4"/>
  <c r="S349" i="4" s="1"/>
  <c r="L349" i="4" s="1"/>
  <c r="R350" i="4"/>
  <c r="S350" i="4" s="1"/>
  <c r="L350" i="4" s="1"/>
  <c r="Q350" i="4"/>
  <c r="R351" i="4"/>
  <c r="S351" i="4" s="1"/>
  <c r="L351" i="4" s="1"/>
  <c r="Q351" i="4"/>
  <c r="R352" i="4"/>
  <c r="S352" i="4" s="1"/>
  <c r="L352" i="4" s="1"/>
  <c r="Q352" i="4"/>
  <c r="R353" i="4"/>
  <c r="S353" i="4" s="1"/>
  <c r="L353" i="4" s="1"/>
  <c r="Q353" i="4"/>
  <c r="R354" i="4"/>
  <c r="S354" i="4" s="1"/>
  <c r="L354" i="4" s="1"/>
  <c r="R355" i="4"/>
  <c r="S355" i="4" s="1"/>
  <c r="L355" i="4" s="1"/>
  <c r="Q355" i="4"/>
  <c r="R356" i="4"/>
  <c r="S356" i="4" s="1"/>
  <c r="L356" i="4" s="1"/>
  <c r="Q356" i="4"/>
  <c r="R357" i="4"/>
  <c r="S357" i="4" s="1"/>
  <c r="L357" i="4" s="1"/>
  <c r="Q357" i="4"/>
  <c r="R358" i="4"/>
  <c r="S358" i="4" s="1"/>
  <c r="L358" i="4" s="1"/>
  <c r="Q358" i="4"/>
  <c r="R359" i="4"/>
  <c r="S359" i="4" s="1"/>
  <c r="L359" i="4" s="1"/>
  <c r="Q359" i="4"/>
  <c r="R360" i="4"/>
  <c r="S360" i="4" s="1"/>
  <c r="L360" i="4" s="1"/>
  <c r="Q360" i="4"/>
  <c r="R361" i="4"/>
  <c r="S361" i="4" s="1"/>
  <c r="L361" i="4" s="1"/>
  <c r="Q361" i="4"/>
  <c r="R362" i="4"/>
  <c r="S362" i="4" s="1"/>
  <c r="L362" i="4" s="1"/>
  <c r="Q362" i="4"/>
  <c r="R363" i="4"/>
  <c r="S363" i="4" s="1"/>
  <c r="L363" i="4" s="1"/>
  <c r="Q363" i="4"/>
  <c r="R364" i="4"/>
  <c r="S364" i="4" s="1"/>
  <c r="L364" i="4" s="1"/>
  <c r="Q364" i="4"/>
  <c r="R365" i="4"/>
  <c r="S365" i="4" s="1"/>
  <c r="L365" i="4" s="1"/>
  <c r="R366" i="4"/>
  <c r="S366" i="4" s="1"/>
  <c r="L366" i="4" s="1"/>
  <c r="Q366" i="4"/>
  <c r="R367" i="4"/>
  <c r="S367" i="4" s="1"/>
  <c r="L367" i="4" s="1"/>
  <c r="R368" i="4"/>
  <c r="S368" i="4" s="1"/>
  <c r="L368" i="4" s="1"/>
  <c r="Q368" i="4"/>
  <c r="R369" i="4"/>
  <c r="S369" i="4" s="1"/>
  <c r="L369" i="4" s="1"/>
  <c r="Q369" i="4"/>
  <c r="R370" i="4"/>
  <c r="S370" i="4" s="1"/>
  <c r="L370" i="4" s="1"/>
  <c r="Q370" i="4"/>
  <c r="R371" i="4"/>
  <c r="S371" i="4" s="1"/>
  <c r="L371" i="4" s="1"/>
  <c r="Q371" i="4"/>
  <c r="R372" i="4"/>
  <c r="S372" i="4" s="1"/>
  <c r="L372" i="4" s="1"/>
  <c r="Q372" i="4"/>
  <c r="R373" i="4"/>
  <c r="S373" i="4" s="1"/>
  <c r="L373" i="4" s="1"/>
  <c r="Q373" i="4"/>
  <c r="R374" i="4"/>
  <c r="S374" i="4" s="1"/>
  <c r="L374" i="4" s="1"/>
  <c r="Q374" i="4"/>
  <c r="R375" i="4"/>
  <c r="S375" i="4" s="1"/>
  <c r="L375" i="4" s="1"/>
  <c r="Q375" i="4"/>
  <c r="R376" i="4"/>
  <c r="S376" i="4" s="1"/>
  <c r="L376" i="4" s="1"/>
  <c r="Q376" i="4"/>
  <c r="R377" i="4"/>
  <c r="S377" i="4" s="1"/>
  <c r="L377" i="4" s="1"/>
  <c r="R378" i="4"/>
  <c r="S378" i="4" s="1"/>
  <c r="L378" i="4" s="1"/>
  <c r="Q378" i="4"/>
  <c r="R379" i="4"/>
  <c r="S379" i="4" s="1"/>
  <c r="L379" i="4" s="1"/>
  <c r="R380" i="4"/>
  <c r="S380" i="4" s="1"/>
  <c r="L380" i="4" s="1"/>
  <c r="Q380" i="4"/>
  <c r="R381" i="4"/>
  <c r="S381" i="4" s="1"/>
  <c r="L381" i="4" s="1"/>
  <c r="Q381" i="4"/>
  <c r="R382" i="4"/>
  <c r="S382" i="4" s="1"/>
  <c r="L382" i="4" s="1"/>
  <c r="Q382" i="4"/>
  <c r="R519" i="4"/>
  <c r="S519" i="4" s="1"/>
  <c r="L519" i="4" s="1"/>
  <c r="Q519" i="4"/>
  <c r="R520" i="4"/>
  <c r="S520" i="4" s="1"/>
  <c r="L520" i="4" s="1"/>
  <c r="Q520" i="4"/>
  <c r="R521" i="4"/>
  <c r="S521" i="4" s="1"/>
  <c r="L521" i="4" s="1"/>
  <c r="Q521" i="4"/>
  <c r="R522" i="4"/>
  <c r="S522" i="4" s="1"/>
  <c r="L522" i="4" s="1"/>
  <c r="Q522" i="4"/>
  <c r="R523" i="4"/>
  <c r="S523" i="4" s="1"/>
  <c r="L523" i="4" s="1"/>
  <c r="Q523" i="4"/>
  <c r="R524" i="4"/>
  <c r="S524" i="4" s="1"/>
  <c r="L524" i="4" s="1"/>
  <c r="R525" i="4"/>
  <c r="S525" i="4" s="1"/>
  <c r="L525" i="4" s="1"/>
  <c r="Q525" i="4"/>
  <c r="R536" i="4"/>
  <c r="S536" i="4" s="1"/>
  <c r="L536" i="4" s="1"/>
  <c r="R537" i="4"/>
  <c r="S537" i="4" s="1"/>
  <c r="L537" i="4" s="1"/>
  <c r="Q537" i="4"/>
  <c r="R746" i="4"/>
  <c r="S746" i="4" s="1"/>
  <c r="L746" i="4" s="1"/>
  <c r="Q746" i="4"/>
  <c r="R747" i="4"/>
  <c r="S747" i="4" s="1"/>
  <c r="L747" i="4" s="1"/>
  <c r="Q747" i="4"/>
  <c r="R748" i="4"/>
  <c r="S748" i="4" s="1"/>
  <c r="L748" i="4" s="1"/>
  <c r="Q748" i="4"/>
  <c r="R12" i="4"/>
  <c r="S12" i="4" s="1"/>
  <c r="L12" i="4" s="1"/>
  <c r="Q12" i="4"/>
  <c r="Q349" i="4"/>
  <c r="Q345" i="4"/>
  <c r="Q342" i="4"/>
  <c r="Q336" i="4"/>
  <c r="Q329" i="4"/>
  <c r="Q325" i="4"/>
  <c r="Q313" i="4"/>
  <c r="Q310" i="4"/>
  <c r="Q307" i="4"/>
  <c r="Q301" i="4"/>
  <c r="Q289" i="4"/>
  <c r="Q283" i="4"/>
  <c r="Q277" i="4"/>
  <c r="Q276" i="4"/>
  <c r="Q268" i="4"/>
  <c r="Q265" i="4"/>
  <c r="Q253" i="4"/>
  <c r="Q247" i="4"/>
  <c r="Q245" i="4"/>
  <c r="Q242" i="4"/>
  <c r="Q224" i="4"/>
  <c r="Q219" i="4"/>
  <c r="Q216" i="4"/>
  <c r="Q208" i="4"/>
  <c r="Q197" i="4"/>
  <c r="Q193" i="4"/>
  <c r="Q188" i="4"/>
  <c r="Q187" i="4"/>
  <c r="Q181" i="4"/>
  <c r="Q176" i="4"/>
  <c r="Q164" i="4"/>
  <c r="Q153" i="4"/>
  <c r="Q152" i="4"/>
  <c r="Q150" i="4"/>
  <c r="Q141" i="4"/>
  <c r="Q136" i="4"/>
  <c r="Q124" i="4"/>
  <c r="Q111" i="4"/>
  <c r="Q105" i="4"/>
  <c r="Q95" i="4"/>
  <c r="Q93" i="4"/>
  <c r="Q84" i="4"/>
  <c r="Q83" i="4"/>
  <c r="Q65" i="4"/>
  <c r="Q57" i="4"/>
  <c r="Q42" i="4"/>
  <c r="Q24" i="4"/>
  <c r="Q13" i="4"/>
  <c r="R13" i="4"/>
  <c r="S13" i="4" s="1"/>
  <c r="L13" i="4" s="1"/>
  <c r="Q11" i="4"/>
  <c r="R11" i="4"/>
  <c r="S11" i="4" s="1"/>
  <c r="L11" i="4" s="1"/>
  <c r="Q10" i="4"/>
  <c r="R10" i="4"/>
  <c r="S10" i="4" s="1"/>
  <c r="L10" i="4" s="1"/>
  <c r="Q9" i="4"/>
  <c r="R9" i="4"/>
  <c r="S9" i="4" s="1"/>
  <c r="L9" i="4" s="1"/>
  <c r="Q8" i="4"/>
  <c r="R8" i="4"/>
  <c r="S8" i="4" s="1"/>
  <c r="L8" i="4" s="1"/>
  <c r="Q7" i="4"/>
  <c r="R7" i="4"/>
  <c r="S7" i="4" s="1"/>
  <c r="L7" i="4" s="1"/>
  <c r="Q6" i="4"/>
  <c r="R6" i="4"/>
  <c r="S6" i="4" s="1"/>
  <c r="L6" i="4" s="1"/>
  <c r="Q5" i="4"/>
  <c r="R5" i="4"/>
  <c r="S5" i="4" s="1"/>
  <c r="L5" i="4" s="1"/>
  <c r="Q4" i="4"/>
  <c r="R4" i="4"/>
  <c r="S4" i="4" s="1"/>
  <c r="L4" i="4" s="1"/>
  <c r="Q3" i="4"/>
  <c r="R3" i="4"/>
  <c r="S3" i="4" s="1"/>
  <c r="L3" i="4" s="1"/>
  <c r="Q2" i="4"/>
  <c r="R2" i="4"/>
  <c r="S2" i="4" s="1"/>
  <c r="L2" i="4" s="1"/>
  <c r="Q89" i="4" l="1"/>
  <c r="Q273" i="4"/>
  <c r="Q332" i="4"/>
  <c r="Q309" i="4"/>
  <c r="Q238" i="4"/>
  <c r="Q319" i="4"/>
  <c r="Q367" i="4"/>
  <c r="Q377" i="4"/>
  <c r="Q147" i="4"/>
  <c r="Q158" i="4"/>
  <c r="Q170" i="4"/>
  <c r="Q182" i="4"/>
  <c r="Q194" i="4"/>
  <c r="Q203" i="4"/>
  <c r="Q214" i="4"/>
  <c r="Q259" i="4"/>
  <c r="Q285" i="4"/>
  <c r="Q74" i="4"/>
  <c r="Q249" i="4"/>
  <c r="Q344" i="4"/>
  <c r="Q354" i="4"/>
  <c r="Q295" i="4"/>
  <c r="Q524" i="4"/>
  <c r="Q30" i="4"/>
  <c r="Q86" i="4"/>
  <c r="Q225" i="4"/>
  <c r="Q379" i="4"/>
  <c r="Q113" i="4"/>
  <c r="Q126" i="4"/>
  <c r="Q138" i="4"/>
  <c r="Q149" i="4"/>
  <c r="Q160" i="4"/>
  <c r="Q172" i="4"/>
  <c r="Q184" i="4"/>
  <c r="Q196" i="4"/>
  <c r="Q215" i="4"/>
  <c r="Q261" i="4"/>
  <c r="Q271" i="4"/>
  <c r="Q321" i="4"/>
  <c r="Q48" i="4"/>
  <c r="Q330" i="4"/>
  <c r="Q365" i="4"/>
  <c r="Q236" i="4"/>
  <c r="Q536" i="4"/>
  <c r="E21" i="5"/>
  <c r="E13" i="5"/>
  <c r="E12" i="5"/>
  <c r="E10" i="5"/>
  <c r="E9" i="5"/>
  <c r="E8" i="5"/>
  <c r="E7" i="5"/>
  <c r="E6" i="5"/>
  <c r="E5" i="5"/>
  <c r="E4" i="5"/>
  <c r="D15" i="5" l="1"/>
  <c r="D23" i="5" s="1"/>
  <c r="D16" i="5" l="1"/>
  <c r="D18" i="5" s="1"/>
  <c r="E17" i="5"/>
  <c r="D17" i="5"/>
  <c r="E16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<sst xmlns="http://schemas.openxmlformats.org/spreadsheetml/2006/main" count="1282" uniqueCount="789">
  <si>
    <t>MARCAS</t>
  </si>
  <si>
    <t>BOMBER</t>
  </si>
  <si>
    <t>PREÇO DE VENDA</t>
  </si>
  <si>
    <t>POSITIVO</t>
  </si>
  <si>
    <t>CUSTO</t>
  </si>
  <si>
    <t>BRASTEMP</t>
  </si>
  <si>
    <t>COMISSÃO</t>
  </si>
  <si>
    <t>VENTISOL</t>
  </si>
  <si>
    <t>FRETE</t>
  </si>
  <si>
    <t>AOC</t>
  </si>
  <si>
    <t>EMBALAGEM</t>
  </si>
  <si>
    <t>PHILIPS</t>
  </si>
  <si>
    <t>MAGIS</t>
  </si>
  <si>
    <t>LG</t>
  </si>
  <si>
    <t>FINANCEIRO</t>
  </si>
  <si>
    <t>EFL</t>
  </si>
  <si>
    <t>IMPOSTO + CUSTO FIXO</t>
  </si>
  <si>
    <t>THUNDEROBOT</t>
  </si>
  <si>
    <t>DAZZ</t>
  </si>
  <si>
    <t>REBATE</t>
  </si>
  <si>
    <t>MAXPRINT</t>
  </si>
  <si>
    <t>INDICE DE RMA</t>
  </si>
  <si>
    <t>MONDIAL</t>
  </si>
  <si>
    <t>COLETA</t>
  </si>
  <si>
    <t>AMAZON</t>
  </si>
  <si>
    <t>BRITANIA</t>
  </si>
  <si>
    <t>VALOR LIQUIDO</t>
  </si>
  <si>
    <t>TARGUS</t>
  </si>
  <si>
    <t>MARGEM VALOR</t>
  </si>
  <si>
    <t>MALLORY</t>
  </si>
  <si>
    <t>MARGEM DA VENDA</t>
  </si>
  <si>
    <t>COLORMAQ</t>
  </si>
  <si>
    <t>MARGEM LIQUIDA</t>
  </si>
  <si>
    <t>PHILCO</t>
  </si>
  <si>
    <t>VAIO</t>
  </si>
  <si>
    <t>FISCHER</t>
  </si>
  <si>
    <t>INSTA360</t>
  </si>
  <si>
    <t>TAIFF</t>
  </si>
  <si>
    <t>CUSTO IDEAL</t>
  </si>
  <si>
    <t>MIDEA</t>
  </si>
  <si>
    <t>CONSUL</t>
  </si>
  <si>
    <t>NAUTIKA</t>
  </si>
  <si>
    <t>ECOFLEX</t>
  </si>
  <si>
    <t>GAZIN</t>
  </si>
  <si>
    <t>BLACKDECKER</t>
  </si>
  <si>
    <t>SEMP</t>
  </si>
  <si>
    <t>MARCA</t>
  </si>
  <si>
    <t>SKU</t>
  </si>
  <si>
    <t>IMPOSTO</t>
  </si>
  <si>
    <t>VERBA</t>
  </si>
  <si>
    <t>CLASSICO</t>
  </si>
  <si>
    <t>PROMO</t>
  </si>
  <si>
    <t>MARGEM</t>
  </si>
  <si>
    <t>PREMIUM</t>
  </si>
  <si>
    <t>COMISSAO</t>
  </si>
  <si>
    <t>PHILCO-PAS26P-BIV</t>
  </si>
  <si>
    <t>De</t>
  </si>
  <si>
    <t>Até</t>
  </si>
  <si>
    <t>BRITANIA-BAS1500V-220V</t>
  </si>
  <si>
    <t>BRITANIA-JUI1000-127V</t>
  </si>
  <si>
    <t>PHILCO-PFE36S-220V</t>
  </si>
  <si>
    <t>PHILCO-NANO-CERAN-T-220V</t>
  </si>
  <si>
    <t>PHILCO-PTV32M9GACGB-127V</t>
  </si>
  <si>
    <t>BRITANIA-BFE25P-127V</t>
  </si>
  <si>
    <t>BRITANIA-BFE25P-220V</t>
  </si>
  <si>
    <t>PHILCO-PTE03-BIV</t>
  </si>
  <si>
    <t>PHILCO-PMB37EB-127V</t>
  </si>
  <si>
    <t>PHILCO-PMO23E-220V</t>
  </si>
  <si>
    <t>PHILCO-PMO28BB-127V</t>
  </si>
  <si>
    <t>BRITANIA-BMO34PB-220V</t>
  </si>
  <si>
    <t>PHILCO-PMO28B-220V</t>
  </si>
  <si>
    <t>PHILCO-PMO28E-220V</t>
  </si>
  <si>
    <t>BRITANIA-BMO29EB-220V</t>
  </si>
  <si>
    <t>PHILCO-PMO38B-127V</t>
  </si>
  <si>
    <t>PHILCO-PMO42EB-127V</t>
  </si>
  <si>
    <t>BRITANIA-BTV50G3ERSGB-BIV</t>
  </si>
  <si>
    <t>BRITANIA-BMO34EB-220V</t>
  </si>
  <si>
    <t>BRITANIA-BMO23-127V</t>
  </si>
  <si>
    <t>BRITANIA-BTV42G6FR2CP-BIV</t>
  </si>
  <si>
    <t>PHILCO-PTV40E3ERSGB-BIV</t>
  </si>
  <si>
    <t>PHILCO-PTV100A5DGSPB-BIV</t>
  </si>
  <si>
    <t>BRITANIA-BTV43VA4REGB-BIV</t>
  </si>
  <si>
    <t>BRITANIA-BTV50VA4REGB-BIV</t>
  </si>
  <si>
    <t>PHILCO-PTV42G6FR2CPF-42</t>
  </si>
  <si>
    <t>PHILCO-PMO33EB-127V</t>
  </si>
  <si>
    <t>PHILCO-PMO33IP-127V</t>
  </si>
  <si>
    <t>PHILCO-PTV40M9GACGB-BIV</t>
  </si>
  <si>
    <t>PHILCO-PMO38B-220V</t>
  </si>
  <si>
    <t>PHILCO-PMO23B-220V</t>
  </si>
  <si>
    <t>BRITANIA-BMO23-220V</t>
  </si>
  <si>
    <t>BRITANIA-BEX2000V-127V</t>
  </si>
  <si>
    <t>PHILCO-PDR60P-220V</t>
  </si>
  <si>
    <t>PHILCO-PMG01PI-220V</t>
  </si>
  <si>
    <t>PHILCO-PCO60G-220V</t>
  </si>
  <si>
    <t>PHILCO-PAD24DZ-BIV</t>
  </si>
  <si>
    <t>PHILCO-PFEC1-220V</t>
  </si>
  <si>
    <t>BRITANIA-BPU01B</t>
  </si>
  <si>
    <t>PHILCO-PPU11-BIV</t>
  </si>
  <si>
    <t>PHILCO-PEX20A-220V</t>
  </si>
  <si>
    <t>PHILCO-PFV320AZ-220V</t>
  </si>
  <si>
    <t>INSTA360-FLOW203</t>
  </si>
  <si>
    <t>INSTA360-X3</t>
  </si>
  <si>
    <t>INSTA360-X4</t>
  </si>
  <si>
    <t>INSTA360-X5</t>
  </si>
  <si>
    <t>PHILCO-PARIS-INOX-VM-220V</t>
  </si>
  <si>
    <t>PHILCO-PARIS-INOX-VM-127V</t>
  </si>
  <si>
    <t>DAZZ-PRIME-X-V2-PT-VM</t>
  </si>
  <si>
    <t>DAZZ-PRIME-X-V2-PT-CZ</t>
  </si>
  <si>
    <t>DAZZ-PRIME-X-V2-PT-AZ</t>
  </si>
  <si>
    <t>MAXPRINT-MATARAZZO</t>
  </si>
  <si>
    <t>MAXPRINT-MARTINELLI</t>
  </si>
  <si>
    <t>MONDIAL-FR-42-127V</t>
  </si>
  <si>
    <t>MONDIAL-ES-14-127V</t>
  </si>
  <si>
    <t>THUNDEROBOT-MG301</t>
  </si>
  <si>
    <t>THUNDEROBOT-H3</t>
  </si>
  <si>
    <t>THUNDEROBOT-HG503</t>
  </si>
  <si>
    <t>PHILCO-PAS1450C-220V</t>
  </si>
  <si>
    <t>BRITANIA-BAS1500V-127V</t>
  </si>
  <si>
    <t>PHILCO-PAS1600P-220V</t>
  </si>
  <si>
    <t>PHILCO-PAS1600P-127V</t>
  </si>
  <si>
    <t>PHILCO-PLQ1300-VM-127V</t>
  </si>
  <si>
    <t>MONDIAL-P20-RE-PT-BIV</t>
  </si>
  <si>
    <t>PHILCO-CROME-INOX-127V</t>
  </si>
  <si>
    <t>PHILCO-PARIS-POWER-PT-127V</t>
  </si>
  <si>
    <t>PHILCO-PMO34EB-220V</t>
  </si>
  <si>
    <t>PHILCO-PMO28B-127V</t>
  </si>
  <si>
    <t>BRITANIA-BFE45PI-220V</t>
  </si>
  <si>
    <t>TAIF-ELEGANCE-BIV</t>
  </si>
  <si>
    <t>PHILCO-DUO-GRILL-INOX127V</t>
  </si>
  <si>
    <t>POSITIVO-P38</t>
  </si>
  <si>
    <t>POSITIVO-P26-PRETO-4G</t>
  </si>
  <si>
    <t>POSITIVO-T780MF-MINIONS</t>
  </si>
  <si>
    <t>MONDIAL-AFN40BFS-127V</t>
  </si>
  <si>
    <t>LG-43LR671C0SA-AWZ-BIV</t>
  </si>
  <si>
    <t>PHILCO-PTV40M9GR2CGB</t>
  </si>
  <si>
    <t>PHILCO-PTV32G7PR2CGB</t>
  </si>
  <si>
    <t>AGRATTO-MOD-CAR12-02</t>
  </si>
  <si>
    <t>AGRATTO-MOD-CAR15-02</t>
  </si>
  <si>
    <t>AOC-43S5045-78</t>
  </si>
  <si>
    <t>POSITIVO-T810C-2-32GB</t>
  </si>
  <si>
    <t>BRITANIA-BAF20A-220V</t>
  </si>
  <si>
    <t>BRITANIA-BCX4600-BIV</t>
  </si>
  <si>
    <t>POSITIVO-SMART-LUMINARIA-BIV</t>
  </si>
  <si>
    <t>BRITANIA-JUICER700-127V</t>
  </si>
  <si>
    <t>BRITANIA-JUICER700-220V</t>
  </si>
  <si>
    <t>NTK-GAS_227G</t>
  </si>
  <si>
    <t>NTK-ROGUE-LIGHT-2L-VM</t>
  </si>
  <si>
    <t>NTK-FRONTIER-FLEX-01B</t>
  </si>
  <si>
    <t>NTK-FRONTIER-FLEX-2L-AZ</t>
  </si>
  <si>
    <t>NTK-ARIA</t>
  </si>
  <si>
    <t>NTK-LANTERNA-GUEPARDO</t>
  </si>
  <si>
    <t>NTK-GRILLMASTER</t>
  </si>
  <si>
    <t>NTK-FOGAREIRO-GUEPARDO</t>
  </si>
  <si>
    <t>NTK-AMOLADOR-SHARP</t>
  </si>
  <si>
    <t>NTK-FOGAREIRO-JUPITER</t>
  </si>
  <si>
    <t>BRIGHT-AC587</t>
  </si>
  <si>
    <t>TARGUS-AWE804GL-50</t>
  </si>
  <si>
    <t>FLEXINTER-T4-AZUL</t>
  </si>
  <si>
    <t>ELGIN-42MV4127-ROXA</t>
  </si>
  <si>
    <t>TOUGHBUILT-TB-KP-G203</t>
  </si>
  <si>
    <t>TOUGHBUILT-TB-KP-102</t>
  </si>
  <si>
    <t>TOUGHBUILT-TB-H4S30-80</t>
  </si>
  <si>
    <t>TOUGHBUILT-TB-71-14</t>
  </si>
  <si>
    <t>TOUGHBUILT-TB-KP-G201</t>
  </si>
  <si>
    <t>TOUGHBUILT-TB-H4-60-SL</t>
  </si>
  <si>
    <t>TOUGHBUILT-TB-KP-G3</t>
  </si>
  <si>
    <t>TOUGHBUILT-TB-53</t>
  </si>
  <si>
    <t>TOUGHBUILT-TB-H4S-40-IK-2</t>
  </si>
  <si>
    <t>TOUGHBUILT-TB-45G-M</t>
  </si>
  <si>
    <t>TOUGHBUILT-TB-45G-L</t>
  </si>
  <si>
    <t>FISCHER-36340-102674-BIV</t>
  </si>
  <si>
    <t>FISCHER-33810-92122</t>
  </si>
  <si>
    <t>FISCHER-1642-6985-PT-BIV</t>
  </si>
  <si>
    <t>FISCHER-26298-57077-BIV</t>
  </si>
  <si>
    <t>FISCHER-26343-57174-BIV</t>
  </si>
  <si>
    <t>FISCHER-36360-102676-BIV</t>
  </si>
  <si>
    <t>FISCHER-23678-54121-BIV</t>
  </si>
  <si>
    <t>FISCHER-36310-102671-BIV</t>
  </si>
  <si>
    <t>POSITIVO-T307SPF-3-64GB</t>
  </si>
  <si>
    <t>NTK-KIT-QUICK</t>
  </si>
  <si>
    <t>NTK-EXTERMINATOR</t>
  </si>
  <si>
    <t>NTK-BUSSOLA</t>
  </si>
  <si>
    <t>NTK-LANTERNA-APUS</t>
  </si>
  <si>
    <t>KABABY-PROTETOR-BRANCO</t>
  </si>
  <si>
    <t>KABABY-SAQUINHO-LEITE</t>
  </si>
  <si>
    <t>KABABY-PROTETOR-SILICONE</t>
  </si>
  <si>
    <t>BINGZUN-ET05</t>
  </si>
  <si>
    <t>BRITANIA-BCFR05-127V</t>
  </si>
  <si>
    <t>BRITANIA-BFR50-220V</t>
  </si>
  <si>
    <t>PHILCO-PAF15A-220V</t>
  </si>
  <si>
    <t>BRITANIA-FFR23PP-127V</t>
  </si>
  <si>
    <t>PHILCO-PAF40A-220V</t>
  </si>
  <si>
    <t>BRITANIA-BFR40BI-220V</t>
  </si>
  <si>
    <t>BRITANIA-BFR42P-127V</t>
  </si>
  <si>
    <t>BLACKD-AUP4-B2-220V</t>
  </si>
  <si>
    <t>JBL-LBOOMB3S-IPX7-PRETO-BIV</t>
  </si>
  <si>
    <t>PHILIPS-TAX4209-BIV</t>
  </si>
  <si>
    <t>PHILCO-PAF55B-220V</t>
  </si>
  <si>
    <t>BRITANIA-PTV98F8TGCM-BIV</t>
  </si>
  <si>
    <t>KABABY-TRONINHO-ROSA</t>
  </si>
  <si>
    <t>KABABY-TRONIHO-AZUL</t>
  </si>
  <si>
    <t>KABABY-BOIA-TUBARAO-AZ</t>
  </si>
  <si>
    <t>KABABY-BOIA-SEREIA-RS</t>
  </si>
  <si>
    <t>KABABY-SUPORTE-CINZA</t>
  </si>
  <si>
    <t>KABABY-MOSQUITEIRO-BRANCO</t>
  </si>
  <si>
    <t>KABABY-CANUDO-ROSA</t>
  </si>
  <si>
    <t>KABABY-CANUDO-AZUL</t>
  </si>
  <si>
    <t>KABABY-TERM-VERDE</t>
  </si>
  <si>
    <t>KABABY-TERM-AZUL</t>
  </si>
  <si>
    <t>KABABY-KIT-AZUL</t>
  </si>
  <si>
    <t>KABABY-PROTETOR-ROSA</t>
  </si>
  <si>
    <t>INTEL-Bx8070110100F-I3</t>
  </si>
  <si>
    <t>BUBA-COPOTERMICO-AZUL</t>
  </si>
  <si>
    <t>NTK-VIPER-5-12C-VERDE</t>
  </si>
  <si>
    <t>NTK-PANDA-3</t>
  </si>
  <si>
    <t>NTK-ZEUS-6P</t>
  </si>
  <si>
    <t>COLORMAQ-CPUHFBA1-BCO-127V</t>
  </si>
  <si>
    <t>PHILIPS-LR6P4B-59</t>
  </si>
  <si>
    <t>PHILIPS-LR03P4B-59</t>
  </si>
  <si>
    <t>PHILIPS-R6L40TF-59</t>
  </si>
  <si>
    <t>PHILIPS-R6L4B-59</t>
  </si>
  <si>
    <t>PHILIPS-LR6P2B-59</t>
  </si>
  <si>
    <t>PHILIPS-LR6P16B-59</t>
  </si>
  <si>
    <t>PHILIPS-R03L40TF-59</t>
  </si>
  <si>
    <t>PHILIPS-R03L4B-59</t>
  </si>
  <si>
    <t>PHILIPS-LR03P2B-59</t>
  </si>
  <si>
    <t>PHILIPS-LR03P16B-59</t>
  </si>
  <si>
    <t>PHILIPS-LR14P28B-59</t>
  </si>
  <si>
    <t>PHILIPS-8LR932-59</t>
  </si>
  <si>
    <t>PHILIPS-CR2032P5B-59</t>
  </si>
  <si>
    <t>PHILIPS-CR2025P5B-59</t>
  </si>
  <si>
    <t>PHILIPS-6LR61P1B-59</t>
  </si>
  <si>
    <t>MONDIAL-FR-42-220V</t>
  </si>
  <si>
    <t>BRITANIA-AB1200-220V</t>
  </si>
  <si>
    <t>ECOFLEX-D23-L34ECF10205</t>
  </si>
  <si>
    <t>ECOFLEX-D23-L34ECF10505</t>
  </si>
  <si>
    <t>GAZIN-SUPREME-D20-141235</t>
  </si>
  <si>
    <t>GAZIN-SUPREME-D20-141233</t>
  </si>
  <si>
    <t>GAZIN-SUPREME-D33-5633</t>
  </si>
  <si>
    <t>ECOFLEX-D18-787EC0H0102</t>
  </si>
  <si>
    <t>BEM-MM-IMPERADOR-758587</t>
  </si>
  <si>
    <t>SEMP-TV32-R6610</t>
  </si>
  <si>
    <t>PHILCO-PSC3600-220V</t>
  </si>
  <si>
    <t>PHILCO-PSA3300-220V</t>
  </si>
  <si>
    <t>BRITANIA-BSC3400-127V</t>
  </si>
  <si>
    <t>BRITANIA-BSC2050-220V</t>
  </si>
  <si>
    <t>BRITANIA-BSC2000-220V</t>
  </si>
  <si>
    <t>PHILCO-KIT-TRAVEL-SHINE</t>
  </si>
  <si>
    <t>BRITANIA-BSC2000-127V</t>
  </si>
  <si>
    <t>PHILCO-PSC3600-127V</t>
  </si>
  <si>
    <t>PHILCO-PES14-BIV</t>
  </si>
  <si>
    <t>PHILCO-DUO-SHINE</t>
  </si>
  <si>
    <t>BRITANIA-BSC2050-127V</t>
  </si>
  <si>
    <t>PHILCO-PSC3050-220V</t>
  </si>
  <si>
    <t>PHILCO-PSA3250-220V</t>
  </si>
  <si>
    <t>PHILCO-PSA3250-127V</t>
  </si>
  <si>
    <t>PHILCO-PES30</t>
  </si>
  <si>
    <t>BRITANIA-BEC02PR-BIV</t>
  </si>
  <si>
    <t>PHILCO-PSC3050-127V</t>
  </si>
  <si>
    <t>BRITANIA-PEC13-BIV</t>
  </si>
  <si>
    <t>BRITANIA-EASY-TRAVEL-BIV</t>
  </si>
  <si>
    <t>PHILCO-PSC2350</t>
  </si>
  <si>
    <t>PHILCO-PSC2300</t>
  </si>
  <si>
    <t>BRITANIA-BES26SR</t>
  </si>
  <si>
    <t>BRITANIA-BES24P</t>
  </si>
  <si>
    <t>BRITANIA-BSC2150</t>
  </si>
  <si>
    <t>BRITANIA-BSC2250</t>
  </si>
  <si>
    <t>PHILCO-PES25SR</t>
  </si>
  <si>
    <t>PHILCO-PEC11</t>
  </si>
  <si>
    <t>PHILCO-PSA3300-127V</t>
  </si>
  <si>
    <t>PHILCO-TITANIUM-TRAVEL</t>
  </si>
  <si>
    <t>Valor min</t>
  </si>
  <si>
    <t>Valor Max</t>
  </si>
  <si>
    <t>Frete</t>
  </si>
  <si>
    <t>PEMI</t>
  </si>
  <si>
    <t>AUTO</t>
  </si>
  <si>
    <t>PHILCO-PMO28S-220V</t>
  </si>
  <si>
    <t>POSITIVO-T30764G-3-64GB</t>
  </si>
  <si>
    <t>POSITIVO-TAB10-T3010D</t>
  </si>
  <si>
    <t>POSITIVO-3003088-C4256AI</t>
  </si>
  <si>
    <t>VAIO-VJFE54F11X-B0811H</t>
  </si>
  <si>
    <t>POSITIVO-MASTER-D2200-PLUS</t>
  </si>
  <si>
    <t>POSITIVO-3052950-N2212</t>
  </si>
  <si>
    <t>VENTISOL-CLIN-17601-127V</t>
  </si>
  <si>
    <t>VENTISOL-CLIN-17603-127V</t>
  </si>
  <si>
    <t>AGRATTO-APEQ01I-02-220V</t>
  </si>
  <si>
    <t>AGRATTO-ACKI01I-02-220V</t>
  </si>
  <si>
    <t>AGRATTO-FMP-01-127V</t>
  </si>
  <si>
    <t>MULTILASER-CE152</t>
  </si>
  <si>
    <t>PRATIC-PFE351-127V</t>
  </si>
  <si>
    <t>AGRATTO-SC01-127V</t>
  </si>
  <si>
    <t>AGRATTO-ACEP01I-127V</t>
  </si>
  <si>
    <t>BRITANIA-BCQ2000-127V</t>
  </si>
  <si>
    <t>COLETEK-EXSII-500VA-BIV</t>
  </si>
  <si>
    <t>WAP-FW009900-AIRFLOWU2</t>
  </si>
  <si>
    <t>WAP-GMEEM01</t>
  </si>
  <si>
    <t>WAP-FW008798</t>
  </si>
  <si>
    <t>LEGRAND-CABO-CHUPETA</t>
  </si>
  <si>
    <t>LEGRAND-DN1706</t>
  </si>
  <si>
    <t>ELGIN-TSF8000R</t>
  </si>
  <si>
    <t>SUMAY-SM-SUFS-13-80</t>
  </si>
  <si>
    <t>LEGRAND-DN1800</t>
  </si>
  <si>
    <t>MD9-7560</t>
  </si>
  <si>
    <t>MD9-9208</t>
  </si>
  <si>
    <t>MD9-7645</t>
  </si>
  <si>
    <t>BRITANIA-BSC3400-220V</t>
  </si>
  <si>
    <t>BRITANIA-BFE47P-127V</t>
  </si>
  <si>
    <t>BRITANIA-BFE47P-220V</t>
  </si>
  <si>
    <t>BRITANIA-BTV40M9GR2CGB-BIV</t>
  </si>
  <si>
    <t>PHILCO-PDR60I-220V</t>
  </si>
  <si>
    <t>OCTOO-7898605650026</t>
  </si>
  <si>
    <t xml:space="preserve">      </t>
  </si>
  <si>
    <t>SEAGATE-STGX1000400</t>
  </si>
  <si>
    <t>BRITANIA-BAF40A-127V</t>
  </si>
  <si>
    <t xml:space="preserve">BRITANIA-BAF45A-127V	</t>
  </si>
  <si>
    <t>BRITANIA-BAF45A-220V</t>
  </si>
  <si>
    <t>BRITANIA-BAF40A-220V</t>
  </si>
  <si>
    <t>BRITANIA-BCAF41-220V</t>
  </si>
  <si>
    <t>BRITANIA-BAF16A-127V</t>
  </si>
  <si>
    <t>PHILCO-PAF10A-127V</t>
  </si>
  <si>
    <t>PHILCO-PAF55B-127V</t>
  </si>
  <si>
    <t>PHILCO-PAF90B-220V</t>
  </si>
  <si>
    <t>PHILCO-PAF90C-220V</t>
  </si>
  <si>
    <t>PHILCO-PBE07CBQF-127V</t>
  </si>
  <si>
    <t>BRITANIA-JUI1000-220V</t>
  </si>
  <si>
    <t>BRITANIA-BCT14P-BIV</t>
  </si>
  <si>
    <t>PHILCO-BCT10A-220V</t>
  </si>
  <si>
    <t>PHILCO-PDR90P-220V</t>
  </si>
  <si>
    <t>PHILCO-PDR90P-127V</t>
  </si>
  <si>
    <t>PHILCO-PFR16P-220V</t>
  </si>
  <si>
    <t>BRITANIA-BFR2100P-220V</t>
  </si>
  <si>
    <t>BRITANIA-BFR2100P-127V</t>
  </si>
  <si>
    <t>BRITANIA-BFR46VI-127V</t>
  </si>
  <si>
    <t>BRITANIA-BFR41PI-220V</t>
  </si>
  <si>
    <t>PHILCO-PFR67PI-220V</t>
  </si>
  <si>
    <t>PHILCO-PFR13P-127V</t>
  </si>
  <si>
    <t>PHILCO-PFR18VI-127V</t>
  </si>
  <si>
    <t>BRITANIA-BFR31-127V</t>
  </si>
  <si>
    <t>BRITANIA-BAF52-127V</t>
  </si>
  <si>
    <t>BRITANIA-BAF52-220V</t>
  </si>
  <si>
    <t>BRITANIA-BCFR06-220V</t>
  </si>
  <si>
    <t>BRITANIA-BFR37-220V</t>
  </si>
  <si>
    <t>BRITANIA-BFR46PI-220V</t>
  </si>
  <si>
    <t>BRITANIA-BFR41PI-127V</t>
  </si>
  <si>
    <t>BRITANIA-FFR27P-127V</t>
  </si>
  <si>
    <t>BLACKD-VFA1110TM2-127V</t>
  </si>
  <si>
    <t>BLACKD-VFA1110XM6-220V</t>
  </si>
  <si>
    <t>BLACKD-F300-BR-127V</t>
  </si>
  <si>
    <t>BLACKD-FXVG1-BIV</t>
  </si>
  <si>
    <t>BLACKD-FX1050-127V</t>
  </si>
  <si>
    <t>BLACKD-FX1050-220V</t>
  </si>
  <si>
    <t>BLACKD-FX2150-AZ-127V</t>
  </si>
  <si>
    <t>BLACKD-FX2250-127V</t>
  </si>
  <si>
    <t>BLACKD-FX2250-220V</t>
  </si>
  <si>
    <t>BLACKD-FX2550-BR-127V</t>
  </si>
  <si>
    <t>BLACKD-FX2550-B2-220V</t>
  </si>
  <si>
    <t>BLACKD-FX2750-127V</t>
  </si>
  <si>
    <t>BLACKD-FX2750-220V</t>
  </si>
  <si>
    <t>BLACKD-FX3060-127V</t>
  </si>
  <si>
    <t>BLACKD-FX3100-BR-127V</t>
  </si>
  <si>
    <t>BLACKD-FX3900-127V</t>
  </si>
  <si>
    <t>BLACKD-FX3900-220V</t>
  </si>
  <si>
    <t>BLACKD-BDV2000V-BR-127V</t>
  </si>
  <si>
    <t>BLACKD-BDV2000V-B2-220V</t>
  </si>
  <si>
    <t>BLACKD-BDV2200-127V</t>
  </si>
  <si>
    <t>BLACKD-BDV2200-220V</t>
  </si>
  <si>
    <t>BLACKD-BDV3000-BR-BIV</t>
  </si>
  <si>
    <t>BLACKD-MP120-220V</t>
  </si>
  <si>
    <t>BLACKD-M300-127V</t>
  </si>
  <si>
    <t>BLACKD-CM01-BR-127V</t>
  </si>
  <si>
    <t>BLACKD-CM01-B2-220V</t>
  </si>
  <si>
    <t>BLACKD-CM02-B2-220V</t>
  </si>
  <si>
    <t>BLACKD-CM15-BR-127V</t>
  </si>
  <si>
    <t>BLACKD-CM15-B2-220V</t>
  </si>
  <si>
    <t>BLACKD-K2200-BR-127V</t>
  </si>
  <si>
    <t>BLACKD-K2200-220V</t>
  </si>
  <si>
    <t>BLACKD-G650-B2-220V</t>
  </si>
  <si>
    <t>BLACKD-G650-BR-127V</t>
  </si>
  <si>
    <t>BLACKD-G720XBR-127V</t>
  </si>
  <si>
    <t>BLACKD-G720XB2-220V</t>
  </si>
  <si>
    <t>BLACKD-TM500BR-127V</t>
  </si>
  <si>
    <t>BLACKD-LHT2220-BIV</t>
  </si>
  <si>
    <t>BLACKD-LB2X4020</t>
  </si>
  <si>
    <t>BLACKD-LD120BAT</t>
  </si>
  <si>
    <t>BLACKD-PW1450TD-127V</t>
  </si>
  <si>
    <t>BLACKD-PW1450TDL-220V</t>
  </si>
  <si>
    <t>BLACKD-PW1450TDL-127V</t>
  </si>
  <si>
    <t>BLACKD-BEPW1750-127V</t>
  </si>
  <si>
    <t>BLACKD-BEPW1800T-220V</t>
  </si>
  <si>
    <t>BLACKD-BEPW1800T-127V</t>
  </si>
  <si>
    <t>BLACKD-FX3100-220V</t>
  </si>
  <si>
    <t>BLACKD-MP120-127V</t>
  </si>
  <si>
    <t>BLACKD-BEPW1750-220V</t>
  </si>
  <si>
    <t>BLACKD-FX2150-AZ-220V</t>
  </si>
  <si>
    <t>BLACKD-LST201-BIV</t>
  </si>
  <si>
    <t>BLACKD-PW1450TD-220V</t>
  </si>
  <si>
    <t>INFINIX-8PRO-4-256GB</t>
  </si>
  <si>
    <t>BRITANIA-FFR27P-220V</t>
  </si>
  <si>
    <t>PHILCO-PFR02PC-127V</t>
  </si>
  <si>
    <t>PHILCO-PFR02PC-220V</t>
  </si>
  <si>
    <t>PHILCO-PFR15PG-220V</t>
  </si>
  <si>
    <t>PHILCO-PFR13P-220V</t>
  </si>
  <si>
    <t>PHILCO-PAF40A-PT-127V</t>
  </si>
  <si>
    <t>BRITANIA-BAF55A-220V</t>
  </si>
  <si>
    <t>BRITANIA-BFR46PI-127V</t>
  </si>
  <si>
    <t xml:space="preserve">BRITANIA-BFR25P-127V	</t>
  </si>
  <si>
    <t xml:space="preserve">PHILCO-PFR2200P-220V	</t>
  </si>
  <si>
    <t>PHILIPS-WALITA-STH1000-10</t>
  </si>
  <si>
    <t>BRITANIA-CP30-127V</t>
  </si>
  <si>
    <t>BRITANIA-DUO-COFFE-220V</t>
  </si>
  <si>
    <t>BRITANIA-BCF32A-220V</t>
  </si>
  <si>
    <t>BRITANIA-BCF32C-220V</t>
  </si>
  <si>
    <t>BRITANIA-CP15-220V</t>
  </si>
  <si>
    <t>BRITANIA-PCF40A-127V</t>
  </si>
  <si>
    <t>BRITANIA-PCF40A-220V</t>
  </si>
  <si>
    <t>BRITANIA-BCF32B-127V</t>
  </si>
  <si>
    <t>BRITANIA-BCF32B-220V</t>
  </si>
  <si>
    <t>BRITANIA-BCF32C-127V</t>
  </si>
  <si>
    <t>PHILCO-PCF20A-220V</t>
  </si>
  <si>
    <t>BRITANIA-BCH06P-220V</t>
  </si>
  <si>
    <t>BRITANIA-BCH07I-220V</t>
  </si>
  <si>
    <t>BRITANIA-BCH09I-127V</t>
  </si>
  <si>
    <t>BRITANIA-BCH09I-220V</t>
  </si>
  <si>
    <t>BRITANIA-BCH12I-220V</t>
  </si>
  <si>
    <t>BRITANIA-BCH12I-127V</t>
  </si>
  <si>
    <t>BRITANIA-BCH12V-127V</t>
  </si>
  <si>
    <t>BRITANIA-BCH12V-220V</t>
  </si>
  <si>
    <t>BRITANIA-BCH25-127V</t>
  </si>
  <si>
    <t>BRITANIA-BCH25-220V</t>
  </si>
  <si>
    <t>PHILCO-GLASS-PCHD-127V</t>
  </si>
  <si>
    <t>PHILCO-GLASS-PCHD-220V</t>
  </si>
  <si>
    <t>PHILCO-PCH18B-127V</t>
  </si>
  <si>
    <t>PHILCO-PCH18PI-127V</t>
  </si>
  <si>
    <t>PHILCO-PCH18PI-220V</t>
  </si>
  <si>
    <t>PHILCO-PCH23PI-127V</t>
  </si>
  <si>
    <t>PHILCO-PCH23PI-220V</t>
  </si>
  <si>
    <t>BRITANIA-BCG01-127V</t>
  </si>
  <si>
    <t>BRITANIA-BCQ10A-220V</t>
  </si>
  <si>
    <t>BRITANIA-BCQ40-220V</t>
  </si>
  <si>
    <t>PHILCO-PCQ1200D-220V</t>
  </si>
  <si>
    <t>PHILCO-PCQ1500D-220V</t>
  </si>
  <si>
    <t>BRITANIA-BDP04</t>
  </si>
  <si>
    <t>PHILCO-PDP01R-BIV</t>
  </si>
  <si>
    <t>BRITANIA-BEX2000V-220V</t>
  </si>
  <si>
    <t>PHILCO-PEX20A-127V</t>
  </si>
  <si>
    <t>BRITANIA-BFS30-127V</t>
  </si>
  <si>
    <t>BRITANIA-PEROLA-DOUBLE-PR-127V</t>
  </si>
  <si>
    <t>PHILCO-PBP90A-127V</t>
  </si>
  <si>
    <t>BRITANIA-BBP760VME-127V</t>
  </si>
  <si>
    <t>BRITANIA-BBP760VME-220V</t>
  </si>
  <si>
    <t>PHILCO-PHP500-220V</t>
  </si>
  <si>
    <t>BRITANIA-OSC-C50-127V</t>
  </si>
  <si>
    <t>BRITANIA-OSC-C50-220V</t>
  </si>
  <si>
    <t>PHILCO-PBP90A-220V</t>
  </si>
  <si>
    <t>PHILCO-COFFE-EXPRESS-220V</t>
  </si>
  <si>
    <t>BRITANIA-BCH11-220V</t>
  </si>
  <si>
    <t>PHILCO-PGR31-127V</t>
  </si>
  <si>
    <t>PHILCO-PCR12CR-220V</t>
  </si>
  <si>
    <t>BRITANIA-CREPIOCA-VM-220V</t>
  </si>
  <si>
    <t>BRITANIA-BFV202AZ-220V</t>
  </si>
  <si>
    <t>BRITANIA-BFV70-127V</t>
  </si>
  <si>
    <t>BRITANIA-BFV70-220V</t>
  </si>
  <si>
    <t>PHILCO-PFE01P-127V</t>
  </si>
  <si>
    <t>PHILCO-PFE01P-220V</t>
  </si>
  <si>
    <t>PHILCO-PFV3100AZ-127V</t>
  </si>
  <si>
    <t>PHILCO-PFV3100AZ-220V</t>
  </si>
  <si>
    <t>PHILCO-PFV3200V-220V</t>
  </si>
  <si>
    <t>PHILCO-PFV40-127V</t>
  </si>
  <si>
    <t>PHILCO-PFV40-220V</t>
  </si>
  <si>
    <t>BRITANIA-BAF90A-127V</t>
  </si>
  <si>
    <t>BRITANIA-BGR30-220V</t>
  </si>
  <si>
    <t>PHILCO-PGR021-127V</t>
  </si>
  <si>
    <t>PHILCO-PGR50A-127V</t>
  </si>
  <si>
    <t>PHILCO-PGR50A-220V</t>
  </si>
  <si>
    <t>BRITANIA-GRILL-PRESS-127V</t>
  </si>
  <si>
    <t>BRITANIA-GRILL-PRESS-220V</t>
  </si>
  <si>
    <t>PHILCO-CORT-CABELO</t>
  </si>
  <si>
    <t>BRITANIA-BFS30-220V</t>
  </si>
  <si>
    <t>BRITANIA-BFV07-127V</t>
  </si>
  <si>
    <t>BRITANIA-BFV07-220V</t>
  </si>
  <si>
    <t>PHILCO-TRAVEL-CERAMIC</t>
  </si>
  <si>
    <t>PHILCO-PGR02I-220V</t>
  </si>
  <si>
    <t>PHILCO-PGR17PI-127V</t>
  </si>
  <si>
    <t>PHILCO-JUMBO-STEEL-127V</t>
  </si>
  <si>
    <t>PHILCO-PGR0P-127V</t>
  </si>
  <si>
    <t>PHILCO-PGR17PI-220V</t>
  </si>
  <si>
    <t>BRITANIA-BB760P-127V</t>
  </si>
  <si>
    <t>BRITANIA-PEROLA-VM-127V</t>
  </si>
  <si>
    <t>BRITANIA-PEROLA-NEVE-127V</t>
  </si>
  <si>
    <t>BRITANIA-BBP760-220V</t>
  </si>
  <si>
    <t>BRITANIA-PEROLA-VM-220V</t>
  </si>
  <si>
    <t>BRITANIA-PEROLA-NEVE-220V</t>
  </si>
  <si>
    <t>PHILCO-PARIS-DUO-PR-127V</t>
  </si>
  <si>
    <t>BRITANIA-BCR18T-127V</t>
  </si>
  <si>
    <t>BRITANIA-BCR18T-220V</t>
  </si>
  <si>
    <t>BRITANIA-BCR22P-220V</t>
  </si>
  <si>
    <t>PHILCO-PCR04-220V</t>
  </si>
  <si>
    <t>BRITANIA-CUPCAKE-220V</t>
  </si>
  <si>
    <t>BRITANIA-BFE1000AZ-127V</t>
  </si>
  <si>
    <t>BRITANIA-15TEMP-220V</t>
  </si>
  <si>
    <t>BRITANIA-BCF19B-127V</t>
  </si>
  <si>
    <t>BRITANIA-BCH06V-220V</t>
  </si>
  <si>
    <t>BRITANIA-BCH07I-127V</t>
  </si>
  <si>
    <t>BRITANIA-BCQ2000-220V</t>
  </si>
  <si>
    <t>BRITANIA-BCQ10A-110V</t>
  </si>
  <si>
    <t>BRITANIA-BCQ90-220V</t>
  </si>
  <si>
    <t>BRITANIA-BFE1000AZ-220V</t>
  </si>
  <si>
    <t>BRITANIA-CP30-220V</t>
  </si>
  <si>
    <t>PHILCO-PH30-220V</t>
  </si>
  <si>
    <t>PHILCO-PGR08T-127V</t>
  </si>
  <si>
    <t>PHILCO-PAF55A-127V</t>
  </si>
  <si>
    <t>PHILCO-PAF55A-220V</t>
  </si>
  <si>
    <t xml:space="preserve">BRITANIA-BCF32A-127V </t>
  </si>
  <si>
    <t>BRITANIA-PI3021-127V</t>
  </si>
  <si>
    <t>BRITANIA-BFV202AZ-127V</t>
  </si>
  <si>
    <t>BRITANIA-BCR03-127V</t>
  </si>
  <si>
    <t>bcf 20a ambas volt</t>
  </si>
  <si>
    <t>BRITANIA-PEROLA-CRISTAL-VM-127V</t>
  </si>
  <si>
    <t>BRITANIA-PEROLA-CRISTAL-VM-220V</t>
  </si>
  <si>
    <t>BRITANIA-PEROLA-PR-127V</t>
  </si>
  <si>
    <t>BRITANIA-BAS87-220V</t>
  </si>
  <si>
    <t>BOMBER-192062</t>
  </si>
  <si>
    <t>BOMBER-192076</t>
  </si>
  <si>
    <t>BOMBER-192072</t>
  </si>
  <si>
    <t>BOMBER-192075</t>
  </si>
  <si>
    <t>COLORMAQ-CBEH-BCO-127V</t>
  </si>
  <si>
    <t>PHILCO-PBE11-127V</t>
  </si>
  <si>
    <t>cp28 220</t>
  </si>
  <si>
    <t>BRITANIA-BFV201R-127V</t>
  </si>
  <si>
    <t>PHILCO-PGR21PI-220V</t>
  </si>
  <si>
    <t>PHILCO-PLO01-127V</t>
  </si>
  <si>
    <t>BRITANIA-TITANIUM-BLUE</t>
  </si>
  <si>
    <t>PHILCO-PES32-BIV</t>
  </si>
  <si>
    <t>BRITANIA-BCQ90-127V</t>
  </si>
  <si>
    <t>PHILCO-PPP01P-127V</t>
  </si>
  <si>
    <t>PHILCO-PMT01-127V</t>
  </si>
  <si>
    <t>PHILCO-PPI04V-127V</t>
  </si>
  <si>
    <t>PHILCO-PAP16</t>
  </si>
  <si>
    <t>PHILCO-PEC17A</t>
  </si>
  <si>
    <t>BRITANIA-BER20PD</t>
  </si>
  <si>
    <t>BRITANIA-BPP02G-127V</t>
  </si>
  <si>
    <t>PHILCO-PAS28P</t>
  </si>
  <si>
    <t>PHILCO-PCQ1500D-127V</t>
  </si>
  <si>
    <t>PHILCO-PWM04A-220V</t>
  </si>
  <si>
    <t>PHILCO-PMT01-220V</t>
  </si>
  <si>
    <t>PHILCO-PMM216</t>
  </si>
  <si>
    <t>PHILCO-PPF21M</t>
  </si>
  <si>
    <t>PHILCO-PTT01-127V</t>
  </si>
  <si>
    <t>BRITANIA-BEC07R-BIV</t>
  </si>
  <si>
    <t>PHILCO-PMX2000-127V</t>
  </si>
  <si>
    <t>PHILCO-PMX2000-220V</t>
  </si>
  <si>
    <t>BRITANIA-BVP50A-127V</t>
  </si>
  <si>
    <t>BRITANIA-BVP50A-220V</t>
  </si>
  <si>
    <t>PHILCO-PAC12000F5-127V</t>
  </si>
  <si>
    <t>PHILCO-PAC12000F5-220V</t>
  </si>
  <si>
    <t>PHILCO-PAC12000QF5-127V</t>
  </si>
  <si>
    <t>PHILCO-PAC12000QF5-220V</t>
  </si>
  <si>
    <t>PHILCO-PCO60G-127V</t>
  </si>
  <si>
    <t>PHILCO-PC090G-220V</t>
  </si>
  <si>
    <t>PHILCO-BCT10A-127V</t>
  </si>
  <si>
    <t>PHILCO-PCT10A-127V</t>
  </si>
  <si>
    <t>PHILCO-PCT10A-220V</t>
  </si>
  <si>
    <t>PHILCO-PCTQ1-220V</t>
  </si>
  <si>
    <t>PHILCO-PDR60P-127V</t>
  </si>
  <si>
    <t>PHILCO-PDR65I-127V</t>
  </si>
  <si>
    <t>PHILCO-PDR65I-220V</t>
  </si>
  <si>
    <t>PHILCO-PEM02-220V</t>
  </si>
  <si>
    <t>PHILCO-PFU01-127V</t>
  </si>
  <si>
    <t>PHILCO-PFU01M-220V</t>
  </si>
  <si>
    <t>PHILCO-PFU01MF-220V</t>
  </si>
  <si>
    <t>PHILCO-PFU04-127V</t>
  </si>
  <si>
    <t>PHILCO-PFU04-220V</t>
  </si>
  <si>
    <t>PHILCO-PLO01-220V</t>
  </si>
  <si>
    <t>PHILCO-PCO90G-127V</t>
  </si>
  <si>
    <t>PHILCO-PFE47E-127V</t>
  </si>
  <si>
    <t>PHILCO-PFE47E-220V</t>
  </si>
  <si>
    <t>PHILCO-PPZ1500-127V</t>
  </si>
  <si>
    <t>PHILCO-PPZ1500-220V</t>
  </si>
  <si>
    <t>BRITANIA-MOEDOR-220V</t>
  </si>
  <si>
    <t>PHILCO-PH10P-220V</t>
  </si>
  <si>
    <t>PHILCO-PH5P-127V</t>
  </si>
  <si>
    <t>BRITANIA-BPP02G-220V</t>
  </si>
  <si>
    <t>PHILCO-PPP02PI-127V</t>
  </si>
  <si>
    <t>PHILCO-PPP80-127V</t>
  </si>
  <si>
    <t>PHILCO-PPP80-220V</t>
  </si>
  <si>
    <t>BRITANIA-BPA07A-127V</t>
  </si>
  <si>
    <t>BRITANIA-BPA07-220V</t>
  </si>
  <si>
    <t>PHILCO-PPA3V-127V</t>
  </si>
  <si>
    <t>PHILCO-PPA3V-220V</t>
  </si>
  <si>
    <t>PHILCO-PPN24A</t>
  </si>
  <si>
    <t>BRITANIA-MULTIPANE-127V</t>
  </si>
  <si>
    <t>BRITANIA-BPI01VI-127V</t>
  </si>
  <si>
    <t>BRITANIA-BPI01VI-220V</t>
  </si>
  <si>
    <t>PHILCO-PPI04V-220V</t>
  </si>
  <si>
    <t>BRITANIA-BELLO-PANE-127V</t>
  </si>
  <si>
    <t>BRITANIA-BGR01P-127V</t>
  </si>
  <si>
    <t>BRITANIA-BGR20-127V</t>
  </si>
  <si>
    <t>BRITANIA-BGR25B-220V</t>
  </si>
  <si>
    <t>FAMA-FGR03A-127V</t>
  </si>
  <si>
    <t>PHILCO-PWM02PG-127V</t>
  </si>
  <si>
    <t>PHILCO-PWM02PG-220V</t>
  </si>
  <si>
    <t>BRITANIA-BMX350P-127V</t>
  </si>
  <si>
    <t>BRITANIA-BMX350P-220V</t>
  </si>
  <si>
    <t>BRITANIA-BMX355P-127V</t>
  </si>
  <si>
    <t>BRITANIA-BMX355P-220V</t>
  </si>
  <si>
    <t>BRITANIA-BMX360-127V</t>
  </si>
  <si>
    <t>PHILCO-PKT407</t>
  </si>
  <si>
    <t>BRITANIA-BCR03-220V</t>
  </si>
  <si>
    <t>BRITANIA-CREPEIRA-SIX-127V</t>
  </si>
  <si>
    <t>BRITANIA-BAF90A-220V</t>
  </si>
  <si>
    <t>PHILCO-PFR18TI-220V</t>
  </si>
  <si>
    <t>PHILCO-PFR2200P-127V</t>
  </si>
  <si>
    <t>PHILCO-PFR2200P-220V</t>
  </si>
  <si>
    <t>BRITANIA-GOLDEN-WAFFLE-127V</t>
  </si>
  <si>
    <t>BRITANIA-BGR06A-220V</t>
  </si>
  <si>
    <t>BRITANIA-BGR12A-127V</t>
  </si>
  <si>
    <t>BRITANIA-BGR12A-220V</t>
  </si>
  <si>
    <t>BRITANIA-BGR27I-127V</t>
  </si>
  <si>
    <t>BRITANIA-BGR27I-220V</t>
  </si>
  <si>
    <t>PHILCO-PGR19-127V</t>
  </si>
  <si>
    <t>PHILCO-PGR19-220V</t>
  </si>
  <si>
    <t>PHILCO-PGR31-220V</t>
  </si>
  <si>
    <t>PHILCO-PGR32-127V</t>
  </si>
  <si>
    <t>PHILCO-PGR32-220V</t>
  </si>
  <si>
    <t>BRITANIA-CP15-127V</t>
  </si>
  <si>
    <t>PHILCO-PCQ10A-127V</t>
  </si>
  <si>
    <t>PHILCO-PCQ10A-220V</t>
  </si>
  <si>
    <t>PHILCO-PPR08</t>
  </si>
  <si>
    <t>BRITANIA-BES36</t>
  </si>
  <si>
    <t>PHILCO-PPR05AZ</t>
  </si>
  <si>
    <t>PHILCO-COFFEE-EXPRESS-15BAR-127V</t>
  </si>
  <si>
    <t>PHILCO-PAS4000V-127V</t>
  </si>
  <si>
    <t>BRITANIA-BAP21P</t>
  </si>
  <si>
    <t>PHILCO-BAP23</t>
  </si>
  <si>
    <t>BRITANIA-BLQ1300P-220V</t>
  </si>
  <si>
    <t>PHILCO-PQL1411P-127V</t>
  </si>
  <si>
    <t>PHILCO-BLQ1411P-220V</t>
  </si>
  <si>
    <t>BRITANIA-BLQ1300P-127V</t>
  </si>
  <si>
    <t>BRITANIA-BLQ970P-220V</t>
  </si>
  <si>
    <t>PHILCO-PH900-127V</t>
  </si>
  <si>
    <t>PHILCO-PLQ1350-GLASS-127V</t>
  </si>
  <si>
    <t>PHILCO-PLQ1350-GLASS-220V</t>
  </si>
  <si>
    <t>PHILCO-PLQ1350-INOX-127V</t>
  </si>
  <si>
    <t>PHILCO-PLQ1350-INOX-220V</t>
  </si>
  <si>
    <t>PHILCO-PLQ1412V-127V</t>
  </si>
  <si>
    <t>PHILCO-PLQ1412V-220V</t>
  </si>
  <si>
    <t>PHILCO-PLQ1430P-127V</t>
  </si>
  <si>
    <t>PHILCO-PLQ1430P-220V</t>
  </si>
  <si>
    <t>PHILCO-PLQ15A-127V</t>
  </si>
  <si>
    <t>PHILCO-PLQ15A-220V</t>
  </si>
  <si>
    <t>PHILCO-PQL1600P-127V</t>
  </si>
  <si>
    <t>PHILCO-PLQ1600P-220V</t>
  </si>
  <si>
    <t>PHILCO-PLQ2100PI-127V</t>
  </si>
  <si>
    <t>PHILCO-PLQ2100PI-220V</t>
  </si>
  <si>
    <t>BRITANIA-DIAMANTE-800-127V</t>
  </si>
  <si>
    <t>BRITANIA-BLQ1300V-127V</t>
  </si>
  <si>
    <t>BRITANIA-BLQ1380P-127V</t>
  </si>
  <si>
    <t>BRITANIA-BLQ970P-127V</t>
  </si>
  <si>
    <t>BRITANIA-BLQ970V-127V</t>
  </si>
  <si>
    <t>BRITANIA-BLQ970V-220V</t>
  </si>
  <si>
    <t>BRITANIA-BBLQ05TQ</t>
  </si>
  <si>
    <t>PHILCO-PFU01MF-127V</t>
  </si>
  <si>
    <t>PHILCO-PCT10IP-127V</t>
  </si>
  <si>
    <t>PHILCO-PLL10-220V</t>
  </si>
  <si>
    <t>PHILCO-PLAS4000-127V</t>
  </si>
  <si>
    <t>BRITANIA-BPF03M</t>
  </si>
  <si>
    <t>PHILCO-PPF12</t>
  </si>
  <si>
    <t>PHILCO-PPF120M</t>
  </si>
  <si>
    <t>PHILCO-PPF120MF</t>
  </si>
  <si>
    <t>BRITANIA-BTT01-220V</t>
  </si>
  <si>
    <t>PHILCO-PSM01-127V</t>
  </si>
  <si>
    <t>PHILCO-PSM01-220V</t>
  </si>
  <si>
    <t>PHILCO-PSE1500-8-127V</t>
  </si>
  <si>
    <t>PHILCO-PSE1500-8-220V</t>
  </si>
  <si>
    <t>PHILCO-PFR18TI-127V</t>
  </si>
  <si>
    <t>BRITANIA-BAS1290V-127V</t>
  </si>
  <si>
    <t>BRITANIA-BPF03MF</t>
  </si>
  <si>
    <t>PHILCO-PMC01I-127V</t>
  </si>
  <si>
    <t>PHILCO-PMC01I-220V</t>
  </si>
  <si>
    <t>BRITANIA-BPA5BI-127V</t>
  </si>
  <si>
    <t>BRITANIA-BPA5BI-220V</t>
  </si>
  <si>
    <t>PHILCO-PH5P-220V</t>
  </si>
  <si>
    <t>BRITANIA-PPA95-220V</t>
  </si>
  <si>
    <t>PHILCO-PPE03I-127V</t>
  </si>
  <si>
    <t>PHILCO-PPE03I-220V</t>
  </si>
  <si>
    <t>BRITANIA-BPP01PI-127V</t>
  </si>
  <si>
    <t>BRITANIA-BPP01PI-220V</t>
  </si>
  <si>
    <t>PHILCO-PPP02PI-220V</t>
  </si>
  <si>
    <t>PHILCO-PPE04-127V</t>
  </si>
  <si>
    <t>PHILCO-PPE04-220V</t>
  </si>
  <si>
    <t>PHILCO-PPH160APR</t>
  </si>
  <si>
    <t>PHILCO-PPH240APR</t>
  </si>
  <si>
    <t>PHILCO-PPH280ACR</t>
  </si>
  <si>
    <t>PHILCO-PPN22A</t>
  </si>
  <si>
    <t>BRITANIA-MULTIPANE-220V</t>
  </si>
  <si>
    <t>BRITANIA-BVP02L-220V</t>
  </si>
  <si>
    <t>BRITANIA-BVP02L-127V</t>
  </si>
  <si>
    <t>PHILCO-PVP10D</t>
  </si>
  <si>
    <t>BRITANIA-BELLO-PANE-220V</t>
  </si>
  <si>
    <t>BRITANIA-BGR02PI-127V</t>
  </si>
  <si>
    <t>BRITANIA-BGR02PI-220V</t>
  </si>
  <si>
    <t>BRITANIA-BGR01P-220V</t>
  </si>
  <si>
    <t>BRITANIA-BGR16-220V</t>
  </si>
  <si>
    <t>BRITANIA-BGR20-220V</t>
  </si>
  <si>
    <t>BRITANIA-GRILL-CROME-INOX-127V</t>
  </si>
  <si>
    <t>BRITANIA-GRILL-CROME-INOX-220V</t>
  </si>
  <si>
    <t>PHILCO-PGR11P-220V</t>
  </si>
  <si>
    <t>PHILCO-PGR25A-127V</t>
  </si>
  <si>
    <t>FAMA-FGR01-127V</t>
  </si>
  <si>
    <t>FAMA-FGR01-220V</t>
  </si>
  <si>
    <t>PHILCO-PGR25A-220V</t>
  </si>
  <si>
    <t>PHILCO-PGR27A-127V</t>
  </si>
  <si>
    <t>PHILCO-PGR27A-220V</t>
  </si>
  <si>
    <t>BRITANIA-BWM01A-127V</t>
  </si>
  <si>
    <t>PHILCO-PWM03-127V</t>
  </si>
  <si>
    <t>BRITANIA-BMX360-220V</t>
  </si>
  <si>
    <t>BRITANIA-BMX400P-127V</t>
  </si>
  <si>
    <t>BRITANIA-BMX400-220V</t>
  </si>
  <si>
    <t>PHILCO-PMX1000-127V</t>
  </si>
  <si>
    <t>PHILCO-PMX1000-220V</t>
  </si>
  <si>
    <t>PHILCO-PERFECT-COFFE-127V</t>
  </si>
  <si>
    <t>PHILCO-PERFECT-COFFE-220V</t>
  </si>
  <si>
    <t>BRITANIA-MOEDOR-127V</t>
  </si>
  <si>
    <t>BRITANIA-BMP900P-127V</t>
  </si>
  <si>
    <t>BRITANIA-BMP900P-220V</t>
  </si>
  <si>
    <t>BRITANIA-PA1O-127V</t>
  </si>
  <si>
    <t>BRITANIA-PA10-220V</t>
  </si>
  <si>
    <t>BRITANIA-PA5-127V</t>
  </si>
  <si>
    <t>BRITANIA-PA5-220V</t>
  </si>
  <si>
    <t>BRITANIA-BPA10PI-127V</t>
  </si>
  <si>
    <t>BRITANIA-BPA10PI-220V</t>
  </si>
  <si>
    <t>PHILCO-PH10P-127V</t>
  </si>
  <si>
    <t>PHILCO-PLQ2000V-127V</t>
  </si>
  <si>
    <t xml:space="preserve">	BRITANIA-BAS1295P-220V</t>
  </si>
  <si>
    <t>PHILCO-PBP600V-VM-127V</t>
  </si>
  <si>
    <t>PHILCO-PAP06VD</t>
  </si>
  <si>
    <t>BRITANIA-BAP20-BIV</t>
  </si>
  <si>
    <t>BRITANIA-BAS01</t>
  </si>
  <si>
    <t>BRITANIA-BAS1290V-220V</t>
  </si>
  <si>
    <t>BRITANIA-BAS1430-VM-127V</t>
  </si>
  <si>
    <t>BRITANIA-BAS1430-220V</t>
  </si>
  <si>
    <t>BRITANIA-BAS30-127V</t>
  </si>
  <si>
    <t>PHILCO-PAS56</t>
  </si>
  <si>
    <t>PHILCO-PBA08-BIV</t>
  </si>
  <si>
    <t>PHILCO-PBP600P-127V</t>
  </si>
  <si>
    <t>PHILCO-PLQ2000V-220V</t>
  </si>
  <si>
    <t>BRITANIA-BAS30-220V</t>
  </si>
  <si>
    <t>PHILCO-EASY-PT-VD-220V</t>
  </si>
  <si>
    <t>PHILCO-PAS4000V-220V</t>
  </si>
  <si>
    <t>PHILCO-PAS70-127V</t>
  </si>
  <si>
    <t>PHILCO-PAS70-220V</t>
  </si>
  <si>
    <t>PHILCO-PMO34ES-127V</t>
  </si>
  <si>
    <t>PHILCO-PLQ1500V-220V</t>
  </si>
  <si>
    <t>PHILCO-FUN-KICTHEN-220V</t>
  </si>
  <si>
    <t>PHILCO-PLQ1250P-127V</t>
  </si>
  <si>
    <t>BRITANIA-LIQ-BLACK-127V</t>
  </si>
  <si>
    <t>BRITANIA-LIQ-BLACK-220V</t>
  </si>
  <si>
    <t>BRITANIA-BLQ1280P-127V</t>
  </si>
  <si>
    <t>BRITANIA-BLQ1280P-220V</t>
  </si>
  <si>
    <t>PHILCO-PH900-220V</t>
  </si>
  <si>
    <t>PHILCO-PLQ1250V-127V</t>
  </si>
  <si>
    <t>BRITANIA-BLQ1300V-220V</t>
  </si>
  <si>
    <t>BRITANIA-DIAMANTE800-VM-220V</t>
  </si>
  <si>
    <t>PHILCO-PH900-VM-127V</t>
  </si>
  <si>
    <t>PHILCO-PH900-VM-220V</t>
  </si>
  <si>
    <t>BRITANIA-BLQ1380P-220V</t>
  </si>
  <si>
    <t>BRITANIA-DIAMANTE-800-PR-220V</t>
  </si>
  <si>
    <t>PHILCO-INOX-FILTER-220V</t>
  </si>
  <si>
    <t>PHILCO-COOKTOP-CHEFF-TC</t>
  </si>
  <si>
    <t>BRITANIA-BBP700B-127V</t>
  </si>
  <si>
    <t>PHILCO-COOKTOP-CHEF-4</t>
  </si>
  <si>
    <t>PHILCO-CHEF-5-PR-BIV</t>
  </si>
  <si>
    <t>BRITANIA-BCT4P-BIV</t>
  </si>
  <si>
    <t>BRITANIA-BMP2000-127V</t>
  </si>
  <si>
    <t>BRITANIA-BMP900C-127V</t>
  </si>
  <si>
    <t>BRITANIA-BMP900C-220V</t>
  </si>
  <si>
    <t>PHILCO-CITRUS-ALL-127V</t>
  </si>
  <si>
    <t>PHILCO-PMP10A-127V</t>
  </si>
  <si>
    <t>PHILCO-PMP10A-220V</t>
  </si>
  <si>
    <t>PHILCO-PMP11A-127V</t>
  </si>
  <si>
    <t>PHILCO-PMP11A-220V</t>
  </si>
  <si>
    <t>PHILCO-PMP1500P-127V</t>
  </si>
  <si>
    <t>PHILCO-PMPO1500P-220V</t>
  </si>
  <si>
    <t>PHILCO-PMP1600V-220V</t>
  </si>
  <si>
    <t>FISCHER-16655-17615-127V</t>
  </si>
  <si>
    <t>PHILCO-PTT01-220V</t>
  </si>
  <si>
    <t>MIDEA-MRAS21-BCO-PT-127V</t>
  </si>
  <si>
    <t>PHILCO-PMO38E-127V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</si>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</sst>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EE0000"/>
      <name val="Aptos Narrow"/>
      <family val="2"/>
      <scheme val="minor"/>
    </font>
    <font>
      <b/>
      <sz val="10"/>
      <color theme="4" tint="0.3999755851924192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 vertical="center"/>
    </xf>
    <xf numFmtId="44" fontId="0" fillId="0" borderId="9" xfId="1" applyFont="1" applyBorder="1" applyAlignment="1">
      <alignment horizontal="center" vertical="center"/>
    </xf>
    <xf numFmtId="9" fontId="0" fillId="0" borderId="7" xfId="2" applyFont="1" applyBorder="1" applyAlignment="1">
      <alignment horizontal="center" vertical="center"/>
    </xf>
    <xf numFmtId="44" fontId="0" fillId="0" borderId="7" xfId="1" applyFont="1" applyBorder="1" applyAlignment="1">
      <alignment horizontal="center" vertical="center"/>
    </xf>
    <xf numFmtId="164" fontId="0" fillId="0" borderId="11" xfId="2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4" fontId="0" fillId="0" borderId="14" xfId="1" applyFont="1" applyBorder="1" applyAlignment="1">
      <alignment horizontal="center" vertical="center"/>
    </xf>
    <xf numFmtId="9" fontId="0" fillId="0" borderId="14" xfId="2" applyFont="1" applyBorder="1" applyAlignment="1">
      <alignment horizontal="center" vertical="center"/>
    </xf>
    <xf numFmtId="44" fontId="0" fillId="0" borderId="13" xfId="1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44" fontId="5" fillId="0" borderId="16" xfId="1" applyFont="1" applyBorder="1"/>
    <xf numFmtId="0" fontId="0" fillId="0" borderId="4" xfId="0" applyBorder="1"/>
    <xf numFmtId="164" fontId="0" fillId="2" borderId="16" xfId="2" applyNumberFormat="1" applyFont="1" applyFill="1" applyBorder="1" applyAlignment="1">
      <alignment horizontal="center"/>
    </xf>
    <xf numFmtId="0" fontId="0" fillId="0" borderId="10" xfId="0" applyBorder="1"/>
    <xf numFmtId="44" fontId="0" fillId="0" borderId="19" xfId="1" applyFont="1" applyBorder="1" applyAlignment="1">
      <alignment horizontal="center"/>
    </xf>
    <xf numFmtId="0" fontId="0" fillId="4" borderId="9" xfId="0" applyFill="1" applyBorder="1"/>
    <xf numFmtId="44" fontId="0" fillId="4" borderId="20" xfId="1" applyFont="1" applyFill="1" applyBorder="1" applyAlignment="1">
      <alignment horizontal="center"/>
    </xf>
    <xf numFmtId="0" fontId="0" fillId="0" borderId="9" xfId="0" applyBorder="1"/>
    <xf numFmtId="164" fontId="0" fillId="0" borderId="20" xfId="2" applyNumberFormat="1" applyFont="1" applyBorder="1" applyAlignment="1">
      <alignment horizontal="center"/>
    </xf>
    <xf numFmtId="44" fontId="0" fillId="5" borderId="20" xfId="1" applyFont="1" applyFill="1" applyBorder="1" applyAlignment="1">
      <alignment horizontal="center"/>
    </xf>
    <xf numFmtId="0" fontId="0" fillId="0" borderId="13" xfId="0" applyBorder="1"/>
    <xf numFmtId="164" fontId="0" fillId="0" borderId="21" xfId="2" applyNumberFormat="1" applyFont="1" applyBorder="1" applyAlignment="1">
      <alignment horizontal="center"/>
    </xf>
    <xf numFmtId="164" fontId="0" fillId="0" borderId="22" xfId="2" applyNumberFormat="1" applyFont="1" applyFill="1" applyBorder="1" applyAlignment="1">
      <alignment horizontal="center"/>
    </xf>
    <xf numFmtId="0" fontId="0" fillId="0" borderId="12" xfId="0" applyBorder="1"/>
    <xf numFmtId="44" fontId="0" fillId="0" borderId="23" xfId="1" applyFont="1" applyBorder="1" applyAlignment="1">
      <alignment horizontal="center"/>
    </xf>
    <xf numFmtId="44" fontId="0" fillId="0" borderId="20" xfId="0" applyNumberFormat="1" applyBorder="1" applyAlignment="1">
      <alignment horizontal="center"/>
    </xf>
    <xf numFmtId="10" fontId="0" fillId="0" borderId="21" xfId="2" applyNumberFormat="1" applyFont="1" applyBorder="1" applyAlignment="1">
      <alignment horizontal="center"/>
    </xf>
    <xf numFmtId="44" fontId="5" fillId="5" borderId="16" xfId="1" applyFont="1" applyFill="1" applyBorder="1"/>
    <xf numFmtId="0" fontId="0" fillId="2" borderId="4" xfId="0" applyFill="1" applyBorder="1" applyAlignment="1">
      <alignment horizontal="center"/>
    </xf>
    <xf numFmtId="44" fontId="0" fillId="2" borderId="16" xfId="0" applyNumberFormat="1" applyFill="1" applyBorder="1"/>
    <xf numFmtId="0" fontId="3" fillId="6" borderId="0" xfId="0" applyFont="1" applyFill="1"/>
    <xf numFmtId="44" fontId="3" fillId="6" borderId="0" xfId="1" applyFont="1" applyFill="1" applyBorder="1"/>
    <xf numFmtId="44" fontId="3" fillId="6" borderId="0" xfId="0" applyNumberFormat="1" applyFont="1" applyFill="1"/>
    <xf numFmtId="44" fontId="3" fillId="0" borderId="0" xfId="0" applyNumberFormat="1" applyFont="1"/>
    <xf numFmtId="0" fontId="0" fillId="6" borderId="0" xfId="0" applyFill="1"/>
    <xf numFmtId="44" fontId="0" fillId="6" borderId="0" xfId="0" applyNumberFormat="1" applyFill="1"/>
    <xf numFmtId="44" fontId="0" fillId="6" borderId="0" xfId="1" applyFont="1" applyFill="1"/>
    <xf numFmtId="44" fontId="0" fillId="0" borderId="0" xfId="1" applyFont="1"/>
    <xf numFmtId="44" fontId="0" fillId="0" borderId="0" xfId="0" applyNumberFormat="1"/>
    <xf numFmtId="10" fontId="0" fillId="7" borderId="20" xfId="2" applyNumberFormat="1" applyFont="1" applyFill="1" applyBorder="1" applyAlignment="1">
      <alignment horizontal="center"/>
    </xf>
    <xf numFmtId="164" fontId="0" fillId="0" borderId="7" xfId="2" applyNumberFormat="1" applyFont="1" applyBorder="1" applyAlignment="1">
      <alignment horizontal="center" vertical="center"/>
    </xf>
    <xf numFmtId="44" fontId="0" fillId="0" borderId="8" xfId="1" applyFont="1" applyBorder="1" applyAlignment="1">
      <alignment horizontal="center" vertical="center"/>
    </xf>
    <xf numFmtId="44" fontId="0" fillId="0" borderId="15" xfId="1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44" fontId="7" fillId="2" borderId="5" xfId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9" fontId="7" fillId="2" borderId="6" xfId="2" applyFont="1" applyFill="1" applyBorder="1" applyAlignment="1">
      <alignment horizontal="center" vertical="center"/>
    </xf>
    <xf numFmtId="44" fontId="6" fillId="3" borderId="4" xfId="1" applyFont="1" applyFill="1" applyBorder="1" applyAlignment="1">
      <alignment horizontal="center" vertical="center"/>
    </xf>
    <xf numFmtId="44" fontId="6" fillId="3" borderId="5" xfId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4" fontId="1" fillId="0" borderId="7" xfId="1" applyFont="1" applyBorder="1" applyAlignment="1">
      <alignment horizontal="center" vertical="center"/>
    </xf>
    <xf numFmtId="44" fontId="1" fillId="0" borderId="7" xfId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6" fillId="3" borderId="5" xfId="2" applyNumberFormat="1" applyFont="1" applyFill="1" applyBorder="1" applyAlignment="1">
      <alignment horizontal="center" vertical="center"/>
    </xf>
    <xf numFmtId="164" fontId="0" fillId="0" borderId="14" xfId="2" applyNumberFormat="1" applyFont="1" applyBorder="1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4" fontId="7" fillId="2" borderId="6" xfId="1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44" fontId="0" fillId="0" borderId="26" xfId="1" applyFont="1" applyBorder="1" applyAlignment="1">
      <alignment horizontal="center" vertical="center"/>
    </xf>
    <xf numFmtId="44" fontId="0" fillId="0" borderId="3" xfId="1" applyFont="1" applyBorder="1" applyAlignment="1">
      <alignment horizontal="center" vertical="center"/>
    </xf>
    <xf numFmtId="9" fontId="0" fillId="0" borderId="27" xfId="2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4" fontId="0" fillId="0" borderId="27" xfId="1" applyFont="1" applyBorder="1" applyAlignment="1">
      <alignment horizontal="center" vertical="center"/>
    </xf>
    <xf numFmtId="44" fontId="0" fillId="0" borderId="11" xfId="1" applyFont="1" applyBorder="1" applyAlignment="1">
      <alignment horizontal="center" vertical="center"/>
    </xf>
    <xf numFmtId="164" fontId="0" fillId="0" borderId="27" xfId="2" applyNumberFormat="1" applyFont="1" applyBorder="1" applyAlignment="1">
      <alignment horizontal="center" vertical="center"/>
    </xf>
    <xf numFmtId="44" fontId="0" fillId="0" borderId="10" xfId="1" applyFont="1" applyBorder="1" applyAlignment="1">
      <alignment horizontal="center" vertical="center"/>
    </xf>
    <xf numFmtId="9" fontId="7" fillId="2" borderId="5" xfId="2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44" fontId="2" fillId="0" borderId="26" xfId="1" applyFont="1" applyBorder="1" applyAlignment="1">
      <alignment horizontal="center" vertical="center"/>
    </xf>
    <xf numFmtId="44" fontId="2" fillId="0" borderId="25" xfId="1" applyFon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17" xfId="1" applyFont="1" applyBorder="1" applyAlignment="1">
      <alignment horizontal="center" vertical="center"/>
    </xf>
    <xf numFmtId="44" fontId="0" fillId="0" borderId="25" xfId="1" applyFont="1" applyBorder="1" applyAlignment="1">
      <alignment horizontal="center" vertical="center"/>
    </xf>
    <xf numFmtId="2" fontId="2" fillId="0" borderId="26" xfId="1" applyNumberFormat="1" applyFont="1" applyBorder="1" applyAlignment="1">
      <alignment horizontal="center" vertical="center"/>
    </xf>
    <xf numFmtId="2" fontId="0" fillId="0" borderId="2" xfId="1" applyNumberFormat="1" applyFont="1" applyBorder="1" applyAlignment="1">
      <alignment horizontal="center" vertical="center"/>
    </xf>
    <xf numFmtId="2" fontId="0" fillId="0" borderId="3" xfId="1" applyNumberFormat="1" applyFont="1" applyBorder="1" applyAlignment="1">
      <alignment horizontal="center" vertical="center"/>
    </xf>
    <xf numFmtId="2" fontId="0" fillId="0" borderId="26" xfId="1" applyNumberFormat="1" applyFont="1" applyBorder="1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44" fontId="9" fillId="3" borderId="5" xfId="1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132">
    <dxf>
      <font>
        <b/>
        <i val="0"/>
      </font>
      <fill>
        <patternFill>
          <bgColor theme="6" tint="0.7999816888943144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36363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  <dxf>
      <fill>
        <patternFill>
          <bgColor rgb="FFC5D9F1"/>
        </patternFill>
      </fill>
    </dxf>
  </dxfs>
  <tableStyles count="0" defaultTableStyle="TableStyleMedium2" defaultPivotStyle="PivotStyleLight16"/>
  <colors>
    <mruColors>
      <color rgb="FFF36363"/>
      <color rgb="FFFFFF99"/>
      <color rgb="FFC5D9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13</xdr:row>
      <xdr:rowOff>8282</xdr:rowOff>
    </xdr:from>
    <xdr:to>
      <xdr:col>24</xdr:col>
      <xdr:colOff>68644</xdr:colOff>
      <xdr:row>40</xdr:row>
      <xdr:rowOff>93915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BE08E60-FE62-ECAB-3B16-DA3103A3D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42674" y="2468217"/>
          <a:ext cx="5499652" cy="502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3B2C5-EE98-46C4-A56C-F46B100D1781}">
  <sheetPr codeName="Planilha1"/>
  <dimension ref="A1:L69"/>
  <sheetViews>
    <sheetView zoomScale="130" zoomScaleNormal="130" workbookViewId="0">
      <selection activeCell="D3" sqref="D3"/>
    </sheetView>
  </sheetViews>
  <sheetFormatPr defaultColWidth="9.140625" defaultRowHeight="15" x14ac:dyDescent="0.25"/>
  <cols>
    <col min="1" max="1" width="14.5703125" style="1" bestFit="1" customWidth="1"/>
    <col min="2" max="2" width="9.140625" style="1"/>
    <col min="3" max="3" width="24" style="1" bestFit="1" customWidth="1"/>
    <col min="4" max="4" width="14.5703125" style="1" bestFit="1" customWidth="1"/>
    <col min="5" max="5" width="12.7109375" style="1" bestFit="1" customWidth="1"/>
    <col min="6" max="9" width="9.140625" style="1"/>
    <col min="10" max="10" width="11.140625" style="95" bestFit="1" customWidth="1"/>
    <col min="11" max="11" width="11.140625" style="2" bestFit="1" customWidth="1"/>
    <col min="12" max="12" width="13.85546875" style="2" bestFit="1" customWidth="1"/>
    <col min="13" max="16384" width="9.140625" style="1"/>
  </cols>
  <sheetData>
    <row r="1" spans="1:12" ht="15.75" thickBot="1" x14ac:dyDescent="0.3">
      <c r="A1" s="4" t="s">
        <v>0</v>
      </c>
      <c r="H1" s="84" t="s">
        <v>56</v>
      </c>
      <c r="I1" s="85" t="s">
        <v>57</v>
      </c>
      <c r="J1" s="91" t="s">
        <v>273</v>
      </c>
      <c r="K1" s="87" t="s">
        <v>271</v>
      </c>
      <c r="L1" s="86" t="s">
        <v>272</v>
      </c>
    </row>
    <row r="2" spans="1:12" ht="21.75" thickBot="1" x14ac:dyDescent="0.4">
      <c r="A2" s="1" t="s">
        <v>1</v>
      </c>
      <c r="C2" s="17" t="s">
        <v>2</v>
      </c>
      <c r="D2" s="18">
        <v>599</v>
      </c>
      <c r="E2" s="38"/>
      <c r="H2" s="69">
        <v>0</v>
      </c>
      <c r="I2" s="1">
        <v>0.3</v>
      </c>
      <c r="J2" s="92">
        <v>11.97</v>
      </c>
      <c r="K2" s="88">
        <v>79</v>
      </c>
      <c r="L2" s="70">
        <v>99.99</v>
      </c>
    </row>
    <row r="3" spans="1:12" ht="15.75" thickBot="1" x14ac:dyDescent="0.3">
      <c r="A3" s="1" t="s">
        <v>3</v>
      </c>
      <c r="C3"/>
      <c r="D3"/>
      <c r="E3" s="38"/>
      <c r="H3" s="69">
        <v>0.3</v>
      </c>
      <c r="I3" s="1">
        <v>0.5</v>
      </c>
      <c r="J3" s="92">
        <v>12.87</v>
      </c>
      <c r="K3" s="88">
        <v>79</v>
      </c>
      <c r="L3" s="70">
        <v>99.99</v>
      </c>
    </row>
    <row r="4" spans="1:12" ht="15.75" thickBot="1" x14ac:dyDescent="0.3">
      <c r="A4" s="1" t="s">
        <v>5</v>
      </c>
      <c r="C4" s="19" t="s">
        <v>6</v>
      </c>
      <c r="D4" s="20">
        <v>0.1</v>
      </c>
      <c r="E4" s="39">
        <f>D2*D4</f>
        <v>59.900000000000006</v>
      </c>
      <c r="H4" s="69">
        <v>0.5</v>
      </c>
      <c r="I4" s="1">
        <v>1</v>
      </c>
      <c r="J4" s="92">
        <v>13.47</v>
      </c>
      <c r="K4" s="88">
        <v>79</v>
      </c>
      <c r="L4" s="70">
        <v>99.99</v>
      </c>
    </row>
    <row r="5" spans="1:12" x14ac:dyDescent="0.25">
      <c r="A5" s="1" t="s">
        <v>7</v>
      </c>
      <c r="C5" s="21" t="s">
        <v>8</v>
      </c>
      <c r="D5" s="22">
        <f>D2*5%</f>
        <v>29.950000000000003</v>
      </c>
      <c r="E5" s="40">
        <f>D5</f>
        <v>29.950000000000003</v>
      </c>
      <c r="H5" s="69">
        <v>1</v>
      </c>
      <c r="I5" s="1">
        <v>2</v>
      </c>
      <c r="J5" s="92">
        <v>14.07</v>
      </c>
      <c r="K5" s="88">
        <v>79</v>
      </c>
      <c r="L5" s="70">
        <v>99.99</v>
      </c>
    </row>
    <row r="6" spans="1:12" x14ac:dyDescent="0.25">
      <c r="A6" s="1" t="s">
        <v>9</v>
      </c>
      <c r="C6" s="23" t="s">
        <v>10</v>
      </c>
      <c r="D6" s="24">
        <v>0</v>
      </c>
      <c r="E6" s="40">
        <f>D6</f>
        <v>0</v>
      </c>
      <c r="H6" s="69">
        <v>2</v>
      </c>
      <c r="I6" s="1">
        <v>3</v>
      </c>
      <c r="J6" s="92">
        <v>14.97</v>
      </c>
      <c r="K6" s="88">
        <v>79</v>
      </c>
      <c r="L6" s="70">
        <v>99.99</v>
      </c>
    </row>
    <row r="7" spans="1:12" x14ac:dyDescent="0.25">
      <c r="A7" s="1" t="s">
        <v>11</v>
      </c>
      <c r="C7" s="23" t="s">
        <v>12</v>
      </c>
      <c r="D7" s="24">
        <v>0</v>
      </c>
      <c r="E7" s="40">
        <f>D7</f>
        <v>0</v>
      </c>
      <c r="H7" s="69">
        <v>3</v>
      </c>
      <c r="I7" s="1">
        <v>4</v>
      </c>
      <c r="J7" s="92">
        <v>16.170000000000002</v>
      </c>
      <c r="K7" s="88">
        <v>79</v>
      </c>
      <c r="L7" s="70">
        <v>99.99</v>
      </c>
    </row>
    <row r="8" spans="1:12" x14ac:dyDescent="0.25">
      <c r="A8" s="1" t="s">
        <v>13</v>
      </c>
      <c r="C8" s="25" t="s">
        <v>14</v>
      </c>
      <c r="D8" s="26">
        <v>0</v>
      </c>
      <c r="E8" s="39">
        <f>D21*D8</f>
        <v>0</v>
      </c>
      <c r="H8" s="69">
        <v>4</v>
      </c>
      <c r="I8" s="1">
        <v>5</v>
      </c>
      <c r="J8" s="92">
        <v>17.07</v>
      </c>
      <c r="K8" s="88">
        <v>79</v>
      </c>
      <c r="L8" s="70">
        <v>99.99</v>
      </c>
    </row>
    <row r="9" spans="1:12" x14ac:dyDescent="0.25">
      <c r="A9" s="1" t="s">
        <v>15</v>
      </c>
      <c r="C9" s="25" t="s">
        <v>16</v>
      </c>
      <c r="D9" s="26">
        <v>0</v>
      </c>
      <c r="E9" s="39">
        <f>D9*D2</f>
        <v>0</v>
      </c>
      <c r="H9" s="69">
        <v>5</v>
      </c>
      <c r="I9" s="1">
        <v>9</v>
      </c>
      <c r="J9" s="92">
        <v>26.67</v>
      </c>
      <c r="K9" s="88">
        <v>79</v>
      </c>
      <c r="L9" s="70">
        <v>99.99</v>
      </c>
    </row>
    <row r="10" spans="1:12" x14ac:dyDescent="0.25">
      <c r="A10" s="1" t="s">
        <v>17</v>
      </c>
      <c r="C10" s="25" t="s">
        <v>6</v>
      </c>
      <c r="D10" s="26">
        <v>0</v>
      </c>
      <c r="E10" s="39">
        <f>D10*D21</f>
        <v>0</v>
      </c>
      <c r="H10" s="69">
        <v>9</v>
      </c>
      <c r="I10" s="1">
        <v>13</v>
      </c>
      <c r="J10" s="92">
        <v>39.57</v>
      </c>
      <c r="K10" s="88">
        <v>79</v>
      </c>
      <c r="L10" s="70">
        <v>99.99</v>
      </c>
    </row>
    <row r="11" spans="1:12" ht="15.75" thickBot="1" x14ac:dyDescent="0.3">
      <c r="A11" s="1" t="s">
        <v>18</v>
      </c>
      <c r="C11" s="25" t="s">
        <v>19</v>
      </c>
      <c r="D11" s="27">
        <v>0</v>
      </c>
      <c r="E11" s="39">
        <v>0</v>
      </c>
      <c r="H11" s="68">
        <v>13</v>
      </c>
      <c r="I11" s="67">
        <v>17</v>
      </c>
      <c r="J11" s="93">
        <v>44.07</v>
      </c>
      <c r="K11" s="89">
        <v>79</v>
      </c>
      <c r="L11" s="74">
        <v>99.99</v>
      </c>
    </row>
    <row r="12" spans="1:12" x14ac:dyDescent="0.25">
      <c r="A12" s="1" t="s">
        <v>20</v>
      </c>
      <c r="C12" s="25" t="s">
        <v>21</v>
      </c>
      <c r="D12" s="26">
        <v>0</v>
      </c>
      <c r="E12" s="39">
        <f>D21*D12</f>
        <v>0</v>
      </c>
      <c r="H12" s="71">
        <v>0</v>
      </c>
      <c r="I12" s="72">
        <v>0.3</v>
      </c>
      <c r="J12" s="94">
        <v>13.97</v>
      </c>
      <c r="K12" s="90">
        <v>100</v>
      </c>
      <c r="L12" s="73">
        <v>119.99</v>
      </c>
    </row>
    <row r="13" spans="1:12" ht="15.75" thickBot="1" x14ac:dyDescent="0.3">
      <c r="A13" s="1" t="s">
        <v>22</v>
      </c>
      <c r="C13" s="28" t="s">
        <v>23</v>
      </c>
      <c r="D13" s="29">
        <v>0</v>
      </c>
      <c r="E13" s="40">
        <f>D13*D21</f>
        <v>0</v>
      </c>
      <c r="H13" s="69">
        <v>0.3</v>
      </c>
      <c r="I13" s="1">
        <v>0.5</v>
      </c>
      <c r="J13" s="92">
        <v>15.01</v>
      </c>
      <c r="K13" s="88">
        <v>100</v>
      </c>
      <c r="L13" s="70">
        <v>119.99</v>
      </c>
    </row>
    <row r="14" spans="1:12" ht="15.75" thickBot="1" x14ac:dyDescent="0.3">
      <c r="A14" s="1" t="s">
        <v>24</v>
      </c>
      <c r="C14"/>
      <c r="D14" s="30"/>
      <c r="E14" s="38"/>
      <c r="H14" s="69">
        <v>0.5</v>
      </c>
      <c r="I14" s="1">
        <v>1</v>
      </c>
      <c r="J14" s="92">
        <v>15.71</v>
      </c>
      <c r="K14" s="88">
        <v>100</v>
      </c>
      <c r="L14" s="70">
        <v>119.99</v>
      </c>
    </row>
    <row r="15" spans="1:12" x14ac:dyDescent="0.25">
      <c r="A15" s="1" t="s">
        <v>25</v>
      </c>
      <c r="C15" s="31" t="s">
        <v>26</v>
      </c>
      <c r="D15" s="32">
        <f>D2-E4-D5-D6-D7-E8-E9-E10-E12-E11+D11</f>
        <v>509.15000000000003</v>
      </c>
      <c r="E15" s="38"/>
      <c r="H15" s="69">
        <v>1</v>
      </c>
      <c r="I15" s="1">
        <v>2</v>
      </c>
      <c r="J15" s="92">
        <v>16.41</v>
      </c>
      <c r="K15" s="88">
        <v>100</v>
      </c>
      <c r="L15" s="70">
        <v>119.99</v>
      </c>
    </row>
    <row r="16" spans="1:12" x14ac:dyDescent="0.25">
      <c r="A16" s="1" t="s">
        <v>27</v>
      </c>
      <c r="C16" s="25" t="s">
        <v>28</v>
      </c>
      <c r="D16" s="33">
        <f>D15-D21</f>
        <v>210.15000000000003</v>
      </c>
      <c r="E16" s="41">
        <f>D16*50</f>
        <v>10507.500000000002</v>
      </c>
      <c r="H16" s="69">
        <v>2</v>
      </c>
      <c r="I16" s="1">
        <v>3</v>
      </c>
      <c r="J16" s="92">
        <v>17.47</v>
      </c>
      <c r="K16" s="88">
        <v>100</v>
      </c>
      <c r="L16" s="70">
        <v>119.99</v>
      </c>
    </row>
    <row r="17" spans="1:12" x14ac:dyDescent="0.25">
      <c r="A17" s="1" t="s">
        <v>29</v>
      </c>
      <c r="C17" s="25" t="s">
        <v>30</v>
      </c>
      <c r="D17" s="47">
        <f>D16/D2</f>
        <v>0.35083472454090153</v>
      </c>
      <c r="E17" s="40">
        <f>D16</f>
        <v>210.15000000000003</v>
      </c>
      <c r="H17" s="69">
        <v>3</v>
      </c>
      <c r="I17" s="1">
        <v>4</v>
      </c>
      <c r="J17" s="92">
        <v>18.87</v>
      </c>
      <c r="K17" s="88">
        <v>100</v>
      </c>
      <c r="L17" s="70">
        <v>119.99</v>
      </c>
    </row>
    <row r="18" spans="1:12" ht="15.75" thickBot="1" x14ac:dyDescent="0.3">
      <c r="A18" s="1" t="s">
        <v>31</v>
      </c>
      <c r="C18" s="28" t="s">
        <v>32</v>
      </c>
      <c r="D18" s="34">
        <f>D16/D21</f>
        <v>0.70284280936454857</v>
      </c>
      <c r="E18" s="38"/>
      <c r="H18" s="69">
        <v>4</v>
      </c>
      <c r="I18" s="1">
        <v>5</v>
      </c>
      <c r="J18" s="92">
        <v>19.920000000000002</v>
      </c>
      <c r="K18" s="88">
        <v>100</v>
      </c>
      <c r="L18" s="70">
        <v>119.99</v>
      </c>
    </row>
    <row r="19" spans="1:12" x14ac:dyDescent="0.25">
      <c r="A19" s="1" t="s">
        <v>33</v>
      </c>
      <c r="C19"/>
      <c r="D19"/>
      <c r="E19" s="42"/>
      <c r="H19" s="69">
        <v>5</v>
      </c>
      <c r="I19" s="1">
        <v>9</v>
      </c>
      <c r="J19" s="92">
        <v>31.12</v>
      </c>
      <c r="K19" s="88">
        <v>100</v>
      </c>
      <c r="L19" s="70">
        <v>119.99</v>
      </c>
    </row>
    <row r="20" spans="1:12" ht="15.75" thickBot="1" x14ac:dyDescent="0.3">
      <c r="A20" s="1" t="s">
        <v>34</v>
      </c>
      <c r="C20"/>
      <c r="D20"/>
      <c r="E20" s="43"/>
      <c r="H20" s="69">
        <v>9</v>
      </c>
      <c r="I20" s="1">
        <v>13</v>
      </c>
      <c r="J20" s="92">
        <v>46.17</v>
      </c>
      <c r="K20" s="88">
        <v>100</v>
      </c>
      <c r="L20" s="70">
        <v>119.99</v>
      </c>
    </row>
    <row r="21" spans="1:12" ht="21.75" thickBot="1" x14ac:dyDescent="0.4">
      <c r="A21" s="1" t="s">
        <v>35</v>
      </c>
      <c r="C21" s="17" t="s">
        <v>4</v>
      </c>
      <c r="D21" s="35">
        <v>299</v>
      </c>
      <c r="E21" s="44">
        <f>D21*1.2</f>
        <v>358.8</v>
      </c>
      <c r="H21" s="69">
        <v>13</v>
      </c>
      <c r="I21" s="1">
        <v>17</v>
      </c>
      <c r="J21" s="92">
        <v>51.42</v>
      </c>
      <c r="K21" s="88">
        <v>100</v>
      </c>
      <c r="L21" s="70">
        <v>119.99</v>
      </c>
    </row>
    <row r="22" spans="1:12" ht="15.75" thickBot="1" x14ac:dyDescent="0.3">
      <c r="A22" s="1" t="s">
        <v>36</v>
      </c>
      <c r="C22"/>
      <c r="D22">
        <v>3</v>
      </c>
      <c r="E22" s="45"/>
      <c r="H22" s="68">
        <v>17</v>
      </c>
      <c r="I22" s="67">
        <v>23</v>
      </c>
      <c r="J22" s="93">
        <v>60.17</v>
      </c>
      <c r="K22" s="89">
        <v>100</v>
      </c>
      <c r="L22" s="74">
        <v>119.99</v>
      </c>
    </row>
    <row r="23" spans="1:12" ht="15.75" thickBot="1" x14ac:dyDescent="0.3">
      <c r="A23" s="1" t="s">
        <v>37</v>
      </c>
      <c r="C23" s="36" t="s">
        <v>38</v>
      </c>
      <c r="D23" s="37">
        <f>D15*0.8</f>
        <v>407.32000000000005</v>
      </c>
      <c r="E23" s="46"/>
      <c r="H23" s="71">
        <v>0</v>
      </c>
      <c r="I23" s="72">
        <v>0.3</v>
      </c>
      <c r="J23" s="94">
        <v>15.96</v>
      </c>
      <c r="K23" s="90">
        <v>120</v>
      </c>
      <c r="L23" s="73">
        <v>149.99</v>
      </c>
    </row>
    <row r="24" spans="1:12" x14ac:dyDescent="0.25">
      <c r="A24" s="1" t="s">
        <v>39</v>
      </c>
      <c r="H24" s="69">
        <v>0.3</v>
      </c>
      <c r="I24" s="1">
        <v>0.5</v>
      </c>
      <c r="J24" s="92">
        <v>17.16</v>
      </c>
      <c r="K24" s="88">
        <v>120</v>
      </c>
      <c r="L24" s="70">
        <v>149.99</v>
      </c>
    </row>
    <row r="25" spans="1:12" x14ac:dyDescent="0.25">
      <c r="A25" s="1" t="s">
        <v>40</v>
      </c>
      <c r="H25" s="69">
        <v>0.5</v>
      </c>
      <c r="I25" s="1">
        <v>1</v>
      </c>
      <c r="J25" s="92">
        <v>17.95</v>
      </c>
      <c r="K25" s="88">
        <v>120</v>
      </c>
      <c r="L25" s="70">
        <v>149.99</v>
      </c>
    </row>
    <row r="26" spans="1:12" x14ac:dyDescent="0.25">
      <c r="A26" s="1" t="s">
        <v>41</v>
      </c>
      <c r="H26" s="69">
        <v>1</v>
      </c>
      <c r="I26" s="1">
        <v>2</v>
      </c>
      <c r="J26" s="92">
        <v>18.760000000000002</v>
      </c>
      <c r="K26" s="88">
        <v>120</v>
      </c>
      <c r="L26" s="70">
        <v>149.99</v>
      </c>
    </row>
    <row r="27" spans="1:12" x14ac:dyDescent="0.25">
      <c r="A27" s="1" t="s">
        <v>42</v>
      </c>
      <c r="H27" s="69">
        <v>2</v>
      </c>
      <c r="I27" s="1">
        <v>3</v>
      </c>
      <c r="J27" s="92">
        <v>19.96</v>
      </c>
      <c r="K27" s="88">
        <v>120</v>
      </c>
      <c r="L27" s="70">
        <v>149.99</v>
      </c>
    </row>
    <row r="28" spans="1:12" x14ac:dyDescent="0.25">
      <c r="A28" s="1" t="s">
        <v>43</v>
      </c>
      <c r="H28" s="69">
        <v>3</v>
      </c>
      <c r="I28" s="1">
        <v>4</v>
      </c>
      <c r="J28" s="92">
        <v>21.56</v>
      </c>
      <c r="K28" s="88">
        <v>120</v>
      </c>
      <c r="L28" s="70">
        <v>149.99</v>
      </c>
    </row>
    <row r="29" spans="1:12" x14ac:dyDescent="0.25">
      <c r="A29" s="1" t="s">
        <v>44</v>
      </c>
      <c r="H29" s="69">
        <v>4</v>
      </c>
      <c r="I29" s="1">
        <v>5</v>
      </c>
      <c r="J29" s="92">
        <v>22.76</v>
      </c>
      <c r="K29" s="88">
        <v>120</v>
      </c>
      <c r="L29" s="70">
        <v>149.99</v>
      </c>
    </row>
    <row r="30" spans="1:12" x14ac:dyDescent="0.25">
      <c r="A30" s="1" t="s">
        <v>45</v>
      </c>
      <c r="H30" s="69">
        <v>5</v>
      </c>
      <c r="I30" s="1">
        <v>9</v>
      </c>
      <c r="J30" s="92">
        <v>35.56</v>
      </c>
      <c r="K30" s="88">
        <v>120</v>
      </c>
      <c r="L30" s="70">
        <v>149.99</v>
      </c>
    </row>
    <row r="31" spans="1:12" x14ac:dyDescent="0.25">
      <c r="H31" s="69">
        <v>9</v>
      </c>
      <c r="I31" s="1">
        <v>13</v>
      </c>
      <c r="J31" s="92">
        <v>52.76</v>
      </c>
      <c r="K31" s="88">
        <v>120</v>
      </c>
      <c r="L31" s="70">
        <v>149.99</v>
      </c>
    </row>
    <row r="32" spans="1:12" x14ac:dyDescent="0.25">
      <c r="H32" s="69">
        <v>13</v>
      </c>
      <c r="I32" s="1">
        <v>17</v>
      </c>
      <c r="J32" s="92">
        <v>58.76</v>
      </c>
      <c r="K32" s="88">
        <v>120</v>
      </c>
      <c r="L32" s="70">
        <v>149.99</v>
      </c>
    </row>
    <row r="33" spans="8:12" x14ac:dyDescent="0.25">
      <c r="H33" s="69">
        <v>17</v>
      </c>
      <c r="I33" s="1">
        <v>23</v>
      </c>
      <c r="J33" s="92">
        <v>68.760000000000005</v>
      </c>
      <c r="K33" s="88">
        <v>120</v>
      </c>
      <c r="L33" s="70">
        <v>149.99</v>
      </c>
    </row>
    <row r="34" spans="8:12" ht="15.75" thickBot="1" x14ac:dyDescent="0.3">
      <c r="H34" s="68">
        <v>23</v>
      </c>
      <c r="I34" s="67">
        <v>30</v>
      </c>
      <c r="J34" s="93">
        <v>79.16</v>
      </c>
      <c r="K34" s="89">
        <v>120</v>
      </c>
      <c r="L34" s="74">
        <v>149.99</v>
      </c>
    </row>
    <row r="35" spans="8:12" x14ac:dyDescent="0.25">
      <c r="H35" s="71">
        <v>0</v>
      </c>
      <c r="I35" s="72">
        <v>0.3</v>
      </c>
      <c r="J35" s="94">
        <v>17.95</v>
      </c>
      <c r="K35" s="90">
        <v>150</v>
      </c>
      <c r="L35" s="73">
        <v>199.99</v>
      </c>
    </row>
    <row r="36" spans="8:12" x14ac:dyDescent="0.25">
      <c r="H36" s="69">
        <v>0.3</v>
      </c>
      <c r="I36" s="1">
        <v>0.5</v>
      </c>
      <c r="J36" s="92">
        <v>19.3</v>
      </c>
      <c r="K36" s="88">
        <v>150</v>
      </c>
      <c r="L36" s="70">
        <v>199.99</v>
      </c>
    </row>
    <row r="37" spans="8:12" x14ac:dyDescent="0.25">
      <c r="H37" s="69">
        <v>0.5</v>
      </c>
      <c r="I37" s="1">
        <v>1</v>
      </c>
      <c r="J37" s="92">
        <v>20.2</v>
      </c>
      <c r="K37" s="88">
        <v>150</v>
      </c>
      <c r="L37" s="70">
        <v>199.99</v>
      </c>
    </row>
    <row r="38" spans="8:12" x14ac:dyDescent="0.25">
      <c r="H38" s="69">
        <v>1</v>
      </c>
      <c r="I38" s="1">
        <v>2</v>
      </c>
      <c r="J38" s="92">
        <v>21.1</v>
      </c>
      <c r="K38" s="88">
        <v>150</v>
      </c>
      <c r="L38" s="70">
        <v>199.99</v>
      </c>
    </row>
    <row r="39" spans="8:12" x14ac:dyDescent="0.25">
      <c r="H39" s="69">
        <v>2</v>
      </c>
      <c r="I39" s="1">
        <v>3</v>
      </c>
      <c r="J39" s="92">
        <v>22.45</v>
      </c>
      <c r="K39" s="88">
        <v>150</v>
      </c>
      <c r="L39" s="70">
        <v>199.99</v>
      </c>
    </row>
    <row r="40" spans="8:12" x14ac:dyDescent="0.25">
      <c r="H40" s="69">
        <v>3</v>
      </c>
      <c r="I40" s="1">
        <v>4</v>
      </c>
      <c r="J40" s="92">
        <v>24.25</v>
      </c>
      <c r="K40" s="88">
        <v>150</v>
      </c>
      <c r="L40" s="70">
        <v>199.99</v>
      </c>
    </row>
    <row r="41" spans="8:12" x14ac:dyDescent="0.25">
      <c r="H41" s="69">
        <v>4</v>
      </c>
      <c r="I41" s="1">
        <v>5</v>
      </c>
      <c r="J41" s="92">
        <v>25.6</v>
      </c>
      <c r="K41" s="88">
        <v>150</v>
      </c>
      <c r="L41" s="70">
        <v>199.99</v>
      </c>
    </row>
    <row r="42" spans="8:12" x14ac:dyDescent="0.25">
      <c r="H42" s="69">
        <v>5</v>
      </c>
      <c r="I42" s="1">
        <v>9</v>
      </c>
      <c r="J42" s="92">
        <v>40</v>
      </c>
      <c r="K42" s="88">
        <v>150</v>
      </c>
      <c r="L42" s="70">
        <v>199.99</v>
      </c>
    </row>
    <row r="43" spans="8:12" x14ac:dyDescent="0.25">
      <c r="H43" s="69">
        <v>9</v>
      </c>
      <c r="I43" s="1">
        <v>13</v>
      </c>
      <c r="J43" s="92">
        <v>59.35</v>
      </c>
      <c r="K43" s="88">
        <v>150</v>
      </c>
      <c r="L43" s="70">
        <v>199.99</v>
      </c>
    </row>
    <row r="44" spans="8:12" x14ac:dyDescent="0.25">
      <c r="H44" s="69">
        <v>13</v>
      </c>
      <c r="I44" s="1">
        <v>17</v>
      </c>
      <c r="J44" s="92">
        <v>66.099999999999994</v>
      </c>
      <c r="K44" s="88">
        <v>150</v>
      </c>
      <c r="L44" s="70">
        <v>199.99</v>
      </c>
    </row>
    <row r="45" spans="8:12" x14ac:dyDescent="0.25">
      <c r="H45" s="69">
        <v>17</v>
      </c>
      <c r="I45" s="1">
        <v>23</v>
      </c>
      <c r="J45" s="92">
        <v>77.349999999999994</v>
      </c>
      <c r="K45" s="88">
        <v>150</v>
      </c>
      <c r="L45" s="70">
        <v>199.99</v>
      </c>
    </row>
    <row r="46" spans="8:12" x14ac:dyDescent="0.25">
      <c r="H46" s="69">
        <v>23</v>
      </c>
      <c r="I46" s="1">
        <v>30</v>
      </c>
      <c r="J46" s="92">
        <v>89.05</v>
      </c>
      <c r="K46" s="88">
        <v>150</v>
      </c>
      <c r="L46" s="70">
        <v>199.99</v>
      </c>
    </row>
    <row r="47" spans="8:12" ht="15.75" thickBot="1" x14ac:dyDescent="0.3">
      <c r="H47" s="68">
        <v>30</v>
      </c>
      <c r="I47" s="67">
        <v>40</v>
      </c>
      <c r="J47" s="93">
        <v>91.75</v>
      </c>
      <c r="K47" s="89">
        <v>150</v>
      </c>
      <c r="L47" s="74">
        <v>199.99</v>
      </c>
    </row>
    <row r="48" spans="8:12" x14ac:dyDescent="0.25">
      <c r="H48" s="71">
        <v>0</v>
      </c>
      <c r="I48" s="72">
        <v>0.3</v>
      </c>
      <c r="J48" s="94">
        <v>19.95</v>
      </c>
      <c r="K48" s="90">
        <v>200</v>
      </c>
      <c r="L48" s="73">
        <v>49999</v>
      </c>
    </row>
    <row r="49" spans="8:12" x14ac:dyDescent="0.25">
      <c r="H49" s="69">
        <v>0.3</v>
      </c>
      <c r="I49" s="1">
        <v>0.5</v>
      </c>
      <c r="J49" s="92">
        <v>21.45</v>
      </c>
      <c r="K49" s="88">
        <v>200</v>
      </c>
      <c r="L49" s="70">
        <v>49999</v>
      </c>
    </row>
    <row r="50" spans="8:12" x14ac:dyDescent="0.25">
      <c r="H50" s="69">
        <v>0.5</v>
      </c>
      <c r="I50" s="1">
        <v>1</v>
      </c>
      <c r="J50" s="92">
        <v>22.45</v>
      </c>
      <c r="K50" s="88">
        <v>200</v>
      </c>
      <c r="L50" s="70">
        <v>49999</v>
      </c>
    </row>
    <row r="51" spans="8:12" x14ac:dyDescent="0.25">
      <c r="H51" s="69">
        <v>1</v>
      </c>
      <c r="I51" s="1">
        <v>2</v>
      </c>
      <c r="J51" s="92">
        <v>23.45</v>
      </c>
      <c r="K51" s="88">
        <v>200</v>
      </c>
      <c r="L51" s="70">
        <v>49999</v>
      </c>
    </row>
    <row r="52" spans="8:12" x14ac:dyDescent="0.25">
      <c r="H52" s="69">
        <v>2</v>
      </c>
      <c r="I52" s="1">
        <v>3</v>
      </c>
      <c r="J52" s="92">
        <v>24.95</v>
      </c>
      <c r="K52" s="88">
        <v>200</v>
      </c>
      <c r="L52" s="70">
        <v>49999</v>
      </c>
    </row>
    <row r="53" spans="8:12" x14ac:dyDescent="0.25">
      <c r="H53" s="69">
        <v>3</v>
      </c>
      <c r="I53" s="1">
        <v>4</v>
      </c>
      <c r="J53" s="92">
        <v>26.95</v>
      </c>
      <c r="K53" s="88">
        <v>200</v>
      </c>
      <c r="L53" s="70">
        <v>49999</v>
      </c>
    </row>
    <row r="54" spans="8:12" x14ac:dyDescent="0.25">
      <c r="H54" s="69">
        <v>4</v>
      </c>
      <c r="I54" s="1">
        <v>5</v>
      </c>
      <c r="J54" s="92">
        <v>28.45</v>
      </c>
      <c r="K54" s="88">
        <v>200</v>
      </c>
      <c r="L54" s="70">
        <v>49999</v>
      </c>
    </row>
    <row r="55" spans="8:12" x14ac:dyDescent="0.25">
      <c r="H55" s="69">
        <v>5</v>
      </c>
      <c r="I55" s="1">
        <v>9</v>
      </c>
      <c r="J55" s="92">
        <v>44.45</v>
      </c>
      <c r="K55" s="88">
        <v>200</v>
      </c>
      <c r="L55" s="70">
        <v>49999</v>
      </c>
    </row>
    <row r="56" spans="8:12" x14ac:dyDescent="0.25">
      <c r="H56" s="69">
        <v>9</v>
      </c>
      <c r="I56" s="1">
        <v>13</v>
      </c>
      <c r="J56" s="92">
        <v>65.95</v>
      </c>
      <c r="K56" s="88">
        <v>200</v>
      </c>
      <c r="L56" s="70">
        <v>49999</v>
      </c>
    </row>
    <row r="57" spans="8:12" x14ac:dyDescent="0.25">
      <c r="H57" s="69">
        <v>13</v>
      </c>
      <c r="I57" s="1">
        <v>17</v>
      </c>
      <c r="J57" s="92">
        <v>73.45</v>
      </c>
      <c r="K57" s="88">
        <v>200</v>
      </c>
      <c r="L57" s="70">
        <v>49999</v>
      </c>
    </row>
    <row r="58" spans="8:12" x14ac:dyDescent="0.25">
      <c r="H58" s="69">
        <v>17</v>
      </c>
      <c r="I58" s="1">
        <v>23</v>
      </c>
      <c r="J58" s="92">
        <v>85.95</v>
      </c>
      <c r="K58" s="88">
        <v>200</v>
      </c>
      <c r="L58" s="70">
        <v>49999</v>
      </c>
    </row>
    <row r="59" spans="8:12" x14ac:dyDescent="0.25">
      <c r="H59" s="69">
        <v>23</v>
      </c>
      <c r="I59" s="1">
        <v>30</v>
      </c>
      <c r="J59" s="92">
        <v>98.95</v>
      </c>
      <c r="K59" s="88">
        <v>200</v>
      </c>
      <c r="L59" s="70">
        <v>49999</v>
      </c>
    </row>
    <row r="60" spans="8:12" x14ac:dyDescent="0.25">
      <c r="H60" s="69">
        <v>30</v>
      </c>
      <c r="I60" s="1">
        <v>40</v>
      </c>
      <c r="J60" s="92">
        <v>101.95</v>
      </c>
      <c r="K60" s="88">
        <v>200</v>
      </c>
      <c r="L60" s="70">
        <v>49999</v>
      </c>
    </row>
    <row r="61" spans="8:12" x14ac:dyDescent="0.25">
      <c r="H61" s="69">
        <v>40</v>
      </c>
      <c r="I61" s="1">
        <v>50</v>
      </c>
      <c r="J61" s="92">
        <v>105.45</v>
      </c>
      <c r="K61" s="88">
        <v>200</v>
      </c>
      <c r="L61" s="70">
        <v>49999</v>
      </c>
    </row>
    <row r="62" spans="8:12" x14ac:dyDescent="0.25">
      <c r="H62" s="69">
        <v>50</v>
      </c>
      <c r="I62" s="1">
        <v>60</v>
      </c>
      <c r="J62" s="92">
        <v>112.45</v>
      </c>
      <c r="K62" s="88">
        <v>200</v>
      </c>
      <c r="L62" s="70">
        <v>49999</v>
      </c>
    </row>
    <row r="63" spans="8:12" x14ac:dyDescent="0.25">
      <c r="H63" s="69">
        <v>60</v>
      </c>
      <c r="I63" s="1">
        <v>70</v>
      </c>
      <c r="J63" s="92">
        <v>120.45</v>
      </c>
      <c r="K63" s="88">
        <v>200</v>
      </c>
      <c r="L63" s="70">
        <v>49999</v>
      </c>
    </row>
    <row r="64" spans="8:12" x14ac:dyDescent="0.25">
      <c r="H64" s="69">
        <v>70</v>
      </c>
      <c r="I64" s="1">
        <v>80</v>
      </c>
      <c r="J64" s="92">
        <v>125.95</v>
      </c>
      <c r="K64" s="88">
        <v>200</v>
      </c>
      <c r="L64" s="70">
        <v>49999</v>
      </c>
    </row>
    <row r="65" spans="8:12" x14ac:dyDescent="0.25">
      <c r="H65" s="69">
        <v>80</v>
      </c>
      <c r="I65" s="1">
        <v>90</v>
      </c>
      <c r="J65" s="92">
        <v>139.94999999999999</v>
      </c>
      <c r="K65" s="88">
        <v>200</v>
      </c>
      <c r="L65" s="70">
        <v>49999</v>
      </c>
    </row>
    <row r="66" spans="8:12" x14ac:dyDescent="0.25">
      <c r="H66" s="69">
        <v>90</v>
      </c>
      <c r="I66" s="1">
        <v>100</v>
      </c>
      <c r="J66" s="92">
        <v>159.94999999999999</v>
      </c>
      <c r="K66" s="88">
        <v>200</v>
      </c>
      <c r="L66" s="70">
        <v>49999</v>
      </c>
    </row>
    <row r="67" spans="8:12" x14ac:dyDescent="0.25">
      <c r="H67" s="69">
        <v>100</v>
      </c>
      <c r="I67" s="1">
        <v>125</v>
      </c>
      <c r="J67" s="92">
        <v>168.67</v>
      </c>
      <c r="K67" s="88">
        <v>200</v>
      </c>
      <c r="L67" s="70">
        <v>49999</v>
      </c>
    </row>
    <row r="68" spans="8:12" x14ac:dyDescent="0.25">
      <c r="H68" s="69">
        <v>125</v>
      </c>
      <c r="I68" s="1">
        <v>150</v>
      </c>
      <c r="J68" s="92">
        <v>189.95</v>
      </c>
      <c r="K68" s="88">
        <v>200</v>
      </c>
      <c r="L68" s="70">
        <v>49999</v>
      </c>
    </row>
    <row r="69" spans="8:12" ht="15.75" thickBot="1" x14ac:dyDescent="0.3">
      <c r="H69" s="68">
        <v>150</v>
      </c>
      <c r="I69" s="67">
        <v>300</v>
      </c>
      <c r="J69" s="93">
        <v>249.45</v>
      </c>
      <c r="K69" s="89">
        <v>200</v>
      </c>
      <c r="L69" s="74">
        <v>49999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40328-14F0-449B-ABA3-1D16B738DF83}">
  <sheetPr codeName="Planilha4"/>
  <dimension ref="A1:U748"/>
  <sheetViews>
    <sheetView tabSelected="1" zoomScale="130" zoomScaleNormal="130" workbookViewId="0">
      <pane ySplit="1" topLeftCell="A542" activePane="bottomLeft" state="frozen"/>
      <selection pane="bottomLeft" activeCell="H549" sqref="H549"/>
    </sheetView>
  </sheetViews>
  <sheetFormatPr defaultColWidth="9.140625" defaultRowHeight="15" x14ac:dyDescent="0.25"/>
  <cols>
    <col min="1" max="1" width="14.5703125" style="1" bestFit="1" customWidth="1"/>
    <col min="2" max="2" width="35.7109375" style="1" bestFit="1" customWidth="1"/>
    <col min="3" max="3" width="13.85546875" style="2" customWidth="1"/>
    <col min="4" max="4" width="5.42578125" style="1" bestFit="1" customWidth="1"/>
    <col min="5" max="5" width="8.140625" style="3" customWidth="1"/>
    <col min="6" max="6" width="11.140625" style="2" customWidth="1"/>
    <col min="7" max="7" width="8.28515625" style="2" bestFit="1" customWidth="1"/>
    <col min="8" max="8" width="13.85546875" style="2" bestFit="1" customWidth="1"/>
    <col min="9" max="9" width="9.42578125" style="64" customWidth="1"/>
    <col min="10" max="10" width="12.7109375" style="2" customWidth="1"/>
    <col min="11" max="11" width="11.140625" style="2" customWidth="1"/>
    <col min="12" max="12" width="9.140625" style="1" customWidth="1"/>
    <col min="13" max="13" width="13.85546875" style="2" bestFit="1" customWidth="1"/>
    <col min="14" max="14" width="9.42578125" style="64" customWidth="1"/>
    <col min="15" max="15" width="11.140625" style="2" customWidth="1"/>
    <col min="16" max="16" width="12.140625" style="2" customWidth="1"/>
    <col min="17" max="17" width="9.140625" style="3" customWidth="1"/>
    <col min="18" max="18" width="13.85546875" style="1" customWidth="1"/>
    <col min="19" max="21" width="12.7109375" style="1" customWidth="1"/>
    <col min="22" max="16384" width="9.140625" style="1"/>
  </cols>
  <sheetData>
    <row r="1" spans="1:21" s="58" customFormat="1" ht="13.5" customHeight="1" thickBot="1" x14ac:dyDescent="0.3">
      <c r="A1" s="51" t="s">
        <v>46</v>
      </c>
      <c r="B1" s="51" t="s">
        <v>47</v>
      </c>
      <c r="C1" s="52" t="s">
        <v>4</v>
      </c>
      <c r="D1" s="53" t="s">
        <v>274</v>
      </c>
      <c r="E1" s="82" t="s">
        <v>48</v>
      </c>
      <c r="F1" s="66" t="s">
        <v>49</v>
      </c>
      <c r="G1" s="96" t="s">
        <v>275</v>
      </c>
      <c r="H1" s="56" t="s">
        <v>50</v>
      </c>
      <c r="I1" s="62" t="s">
        <v>6</v>
      </c>
      <c r="J1" s="56" t="s">
        <v>8</v>
      </c>
      <c r="K1" s="52" t="s">
        <v>51</v>
      </c>
      <c r="L1" s="57" t="s">
        <v>52</v>
      </c>
      <c r="M1" s="55" t="s">
        <v>53</v>
      </c>
      <c r="N1" s="62" t="s">
        <v>54</v>
      </c>
      <c r="O1" s="56" t="s">
        <v>8</v>
      </c>
      <c r="P1" s="52" t="s">
        <v>51</v>
      </c>
      <c r="Q1" s="54" t="s">
        <v>52</v>
      </c>
      <c r="R1" s="83"/>
      <c r="S1" s="83"/>
      <c r="T1" s="83"/>
      <c r="U1" s="83"/>
    </row>
    <row r="2" spans="1:21" x14ac:dyDescent="0.25">
      <c r="A2" s="76" t="s">
        <v>33</v>
      </c>
      <c r="B2" s="77" t="s">
        <v>55</v>
      </c>
      <c r="C2" s="78">
        <v>499.43</v>
      </c>
      <c r="D2" s="77">
        <v>4</v>
      </c>
      <c r="E2" s="75">
        <v>0.04</v>
      </c>
      <c r="F2" s="79">
        <v>0</v>
      </c>
      <c r="G2" s="78">
        <v>2</v>
      </c>
      <c r="H2" s="78">
        <v>575</v>
      </c>
      <c r="I2" s="80">
        <v>0.11</v>
      </c>
      <c r="J2" s="78" cm="1">
        <f t="array" ref="J2">IF(H2&lt;12.5, H2/2,
IF(H2&lt;29, 6.25,
IF(H2&lt;50, 6.5,
IF(H2&lt;79, 6.75,
VALUE(SUBSTITUTE(
INDEX(RESUMO!$J$2:$J$100, MATCH(1,
(D2&gt;=RESUMO!$H$2:$H$100)*(D2&lt;=RESUMO!$I$2:$I$100)*(H2&gt;=RESUMO!$K$2:$K$100)*(H2&lt;=RESUMO!$L$2:$L$100),
0)), "R$ ", ""))
))))</f>
        <v>26.95</v>
      </c>
      <c r="K2" s="78">
        <v>0</v>
      </c>
      <c r="L2" s="10">
        <f t="shared" ref="L2:L35" si="0">S2/H2</f>
        <v>-6.0186434782608655E-2</v>
      </c>
      <c r="M2" s="81">
        <v>709.25</v>
      </c>
      <c r="N2" s="80">
        <v>0.16</v>
      </c>
      <c r="O2" s="78" cm="1">
        <f t="array" ref="O2">IF(M2&lt;12.5, 0,
IF(M2&lt;29, 6.25,
IF(M2&lt;50, 6.5,
IF(M2&lt;79, 6.75,
VALUE(SUBSTITUTE(
INDEX(RESUMO!$J$2:$J$100, MATCH(1,
(D2&gt;=RESUMO!$H$2:$H$100)*(D2&lt;=RESUMO!$I$2:$I$100)*(M2&gt;=RESUMO!$K$2:$K$100)*(M2&lt;=RESUMO!$L$2:$L$100),
0)), "R$ ", ""))
))))</f>
        <v>26.95</v>
      </c>
      <c r="P2" s="78">
        <v>0</v>
      </c>
      <c r="Q2" s="10">
        <f t="shared" ref="Q2:Q54" si="1">U2/M2</f>
        <v>6.9669087063799637E-2</v>
      </c>
      <c r="R2" s="5">
        <f t="shared" ref="R2:R59" si="2">(H2-(H2*I2)-J2-(C2*E2)+K2)</f>
        <v>464.82280000000003</v>
      </c>
      <c r="S2" s="5">
        <f t="shared" ref="S2:S59" si="3">R2-(C2-F2)</f>
        <v>-34.607199999999978</v>
      </c>
      <c r="T2" s="5">
        <f t="shared" ref="T2:T59" si="4">(M2-(M2*N2)-O2-(C2*E2)+P2)</f>
        <v>548.8427999999999</v>
      </c>
      <c r="U2" s="5">
        <f t="shared" ref="U2:U59" si="5">T2-(C2-F2)</f>
        <v>49.412799999999891</v>
      </c>
    </row>
    <row r="3" spans="1:21" x14ac:dyDescent="0.25">
      <c r="A3" s="11" t="s">
        <v>25</v>
      </c>
      <c r="B3" s="6" t="s">
        <v>58</v>
      </c>
      <c r="C3" s="9">
        <v>130.51</v>
      </c>
      <c r="D3" s="6">
        <v>2</v>
      </c>
      <c r="E3" s="8">
        <v>0.04</v>
      </c>
      <c r="F3" s="49">
        <v>0</v>
      </c>
      <c r="G3" s="9">
        <v>2</v>
      </c>
      <c r="H3" s="9">
        <v>187.5</v>
      </c>
      <c r="I3" s="48">
        <v>0.11</v>
      </c>
      <c r="J3" s="78" cm="1">
        <f t="array" ref="J3">IF(H3&lt;12.5, H3/2,
IF(H3&lt;29, 6.25,
IF(H3&lt;50, 6.5,
IF(H3&lt;79, 6.75,
VALUE(SUBSTITUTE(
INDEX(RESUMO!$J$2:$J$100, MATCH(1,
(D3&gt;=RESUMO!$H$2:$H$100)*(D3&lt;=RESUMO!$I$2:$I$100)*(H3&gt;=RESUMO!$K$2:$K$100)*(H3&lt;=RESUMO!$L$2:$L$100),
0)), "R$ ", ""))
))))</f>
        <v>21.1</v>
      </c>
      <c r="K3" s="9">
        <v>0</v>
      </c>
      <c r="L3" s="10">
        <f t="shared" si="0"/>
        <v>5.3571200000000013E-2</v>
      </c>
      <c r="M3" s="7">
        <v>199.9</v>
      </c>
      <c r="N3" s="48">
        <v>0.16</v>
      </c>
      <c r="O3" s="78" cm="1">
        <f t="array" ref="O3">IF(M3&lt;12.5, 0,
IF(M3&lt;29, 6.25,
IF(M3&lt;50, 6.5,
IF(M3&lt;79, 6.75,
VALUE(SUBSTITUTE(
INDEX(RESUMO!$J$2:$J$100, MATCH(1,
(D3&gt;=RESUMO!$H$2:$H$100)*(D3&lt;=RESUMO!$I$2:$I$100)*(M3&gt;=RESUMO!$K$2:$K$100)*(M3&lt;=RESUMO!$L$2:$L$100),
0)), "R$ ", ""))
))))</f>
        <v>21.1</v>
      </c>
      <c r="P3" s="9">
        <v>0</v>
      </c>
      <c r="Q3" s="10">
        <f t="shared" si="1"/>
        <v>5.5455727863931964E-2</v>
      </c>
      <c r="R3" s="5">
        <f t="shared" si="2"/>
        <v>140.55459999999999</v>
      </c>
      <c r="S3" s="5">
        <f t="shared" si="3"/>
        <v>10.044600000000003</v>
      </c>
      <c r="T3" s="5">
        <f t="shared" si="4"/>
        <v>141.59559999999999</v>
      </c>
      <c r="U3" s="5">
        <f t="shared" si="5"/>
        <v>11.085599999999999</v>
      </c>
    </row>
    <row r="4" spans="1:21" x14ac:dyDescent="0.25">
      <c r="A4" s="11" t="s">
        <v>25</v>
      </c>
      <c r="B4" s="6" t="s">
        <v>59</v>
      </c>
      <c r="C4" s="9">
        <v>328.42</v>
      </c>
      <c r="D4" s="6">
        <v>9</v>
      </c>
      <c r="E4" s="8">
        <v>0.04</v>
      </c>
      <c r="F4" s="49">
        <v>0</v>
      </c>
      <c r="G4" s="9">
        <v>2</v>
      </c>
      <c r="H4" s="9">
        <v>403</v>
      </c>
      <c r="I4" s="48">
        <v>0.11</v>
      </c>
      <c r="J4" s="78" cm="1">
        <f t="array" ref="J4">IF(H4&lt;12.5, H4/2,
IF(H4&lt;29, 6.25,
IF(H4&lt;50, 6.5,
IF(H4&lt;79, 6.75,
VALUE(SUBSTITUTE(
INDEX(RESUMO!$J$2:$J$100, MATCH(1,
(D4&gt;=RESUMO!$H$2:$H$100)*(D4&lt;=RESUMO!$I$2:$I$100)*(H4&gt;=RESUMO!$K$2:$K$100)*(H4&lt;=RESUMO!$L$2:$L$100),
0)), "R$ ", ""))
))))</f>
        <v>44.45</v>
      </c>
      <c r="K4" s="9">
        <v>19.2</v>
      </c>
      <c r="L4" s="10">
        <f t="shared" si="0"/>
        <v>-2.0190570719602962E-2</v>
      </c>
      <c r="M4" s="7">
        <v>449.9</v>
      </c>
      <c r="N4" s="48">
        <v>0.16</v>
      </c>
      <c r="O4" s="78" cm="1">
        <f t="array" ref="O4">IF(M4&lt;12.5, 0,
IF(M4&lt;29, 6.25,
IF(M4&lt;50, 6.5,
IF(M4&lt;79, 6.75,
VALUE(SUBSTITUTE(
INDEX(RESUMO!$J$2:$J$100, MATCH(1,
(D4&gt;=RESUMO!$H$2:$H$100)*(D4&lt;=RESUMO!$I$2:$I$100)*(M4&gt;=RESUMO!$K$2:$K$100)*(M4&lt;=RESUMO!$L$2:$L$100),
0)), "R$ ", ""))
))))</f>
        <v>44.45</v>
      </c>
      <c r="P4" s="9">
        <v>26.99</v>
      </c>
      <c r="Q4" s="10">
        <f t="shared" si="1"/>
        <v>4.2007557234941116E-2</v>
      </c>
      <c r="R4" s="5">
        <f t="shared" si="2"/>
        <v>320.28320000000002</v>
      </c>
      <c r="S4" s="5">
        <f t="shared" si="3"/>
        <v>-8.1367999999999938</v>
      </c>
      <c r="T4" s="5">
        <f t="shared" si="4"/>
        <v>347.31920000000002</v>
      </c>
      <c r="U4" s="5">
        <f t="shared" si="5"/>
        <v>18.899200000000008</v>
      </c>
    </row>
    <row r="5" spans="1:21" x14ac:dyDescent="0.25">
      <c r="A5" s="11" t="s">
        <v>33</v>
      </c>
      <c r="B5" s="6" t="s">
        <v>60</v>
      </c>
      <c r="C5" s="9">
        <v>763.58</v>
      </c>
      <c r="D5" s="6">
        <v>13</v>
      </c>
      <c r="E5" s="8">
        <v>0.04</v>
      </c>
      <c r="F5" s="49">
        <v>0</v>
      </c>
      <c r="G5" s="9">
        <v>2</v>
      </c>
      <c r="H5" s="9">
        <v>1024.9000000000001</v>
      </c>
      <c r="I5" s="48">
        <v>0.11</v>
      </c>
      <c r="J5" s="78" cm="1">
        <f t="array" ref="J5">IF(H5&lt;12.5, H5/2,
IF(H5&lt;29, 6.25,
IF(H5&lt;50, 6.5,
IF(H5&lt;79, 6.75,
VALUE(SUBSTITUTE(
INDEX(RESUMO!$J$2:$J$100, MATCH(1,
(D5&gt;=RESUMO!$H$2:$H$100)*(D5&lt;=RESUMO!$I$2:$I$100)*(H5&gt;=RESUMO!$K$2:$K$100)*(H5&lt;=RESUMO!$L$2:$L$100),
0)), "R$ ", ""))
))))</f>
        <v>65.95</v>
      </c>
      <c r="K5" s="9">
        <v>0</v>
      </c>
      <c r="L5" s="10">
        <f t="shared" si="0"/>
        <v>5.0822324129183347E-2</v>
      </c>
      <c r="M5" s="7">
        <v>1089.9000000000001</v>
      </c>
      <c r="N5" s="48">
        <v>0.16</v>
      </c>
      <c r="O5" s="78" cm="1">
        <f t="array" ref="O5">IF(M5&lt;12.5, 0,
IF(M5&lt;29, 6.25,
IF(M5&lt;50, 6.5,
IF(M5&lt;79, 6.75,
VALUE(SUBSTITUTE(
INDEX(RESUMO!$J$2:$J$100, MATCH(1,
(D5&gt;=RESUMO!$H$2:$H$100)*(D5&lt;=RESUMO!$I$2:$I$100)*(M5&gt;=RESUMO!$K$2:$K$100)*(M5&lt;=RESUMO!$L$2:$L$100),
0)), "R$ ", ""))
))))</f>
        <v>65.95</v>
      </c>
      <c r="P5" s="9">
        <v>0</v>
      </c>
      <c r="Q5" s="10">
        <f t="shared" si="1"/>
        <v>5.0869621066152886E-2</v>
      </c>
      <c r="R5" s="5">
        <f t="shared" si="2"/>
        <v>815.66780000000006</v>
      </c>
      <c r="S5" s="5">
        <f t="shared" si="3"/>
        <v>52.087800000000016</v>
      </c>
      <c r="T5" s="5">
        <f t="shared" si="4"/>
        <v>819.02280000000007</v>
      </c>
      <c r="U5" s="5">
        <f t="shared" si="5"/>
        <v>55.442800000000034</v>
      </c>
    </row>
    <row r="6" spans="1:21" x14ac:dyDescent="0.25">
      <c r="A6" s="11" t="s">
        <v>33</v>
      </c>
      <c r="B6" s="6" t="s">
        <v>61</v>
      </c>
      <c r="C6" s="9">
        <v>124.4</v>
      </c>
      <c r="D6" s="6">
        <v>2</v>
      </c>
      <c r="E6" s="8">
        <v>0.04</v>
      </c>
      <c r="F6" s="49">
        <v>0</v>
      </c>
      <c r="G6" s="9">
        <v>2</v>
      </c>
      <c r="H6" s="9">
        <v>179.9</v>
      </c>
      <c r="I6" s="48">
        <v>0.11</v>
      </c>
      <c r="J6" s="78" cm="1">
        <f t="array" ref="J6">IF(H6&lt;12.5, H6/2,
IF(H6&lt;29, 6.25,
IF(H6&lt;50, 6.5,
IF(H6&lt;79, 6.75,
VALUE(SUBSTITUTE(
INDEX(RESUMO!$J$2:$J$100, MATCH(1,
(D6&gt;=RESUMO!$H$2:$H$100)*(D6&lt;=RESUMO!$I$2:$I$100)*(H6&gt;=RESUMO!$K$2:$K$100)*(H6&lt;=RESUMO!$L$2:$L$100),
0)), "R$ ", ""))
))))</f>
        <v>21.1</v>
      </c>
      <c r="K6" s="9">
        <v>0</v>
      </c>
      <c r="L6" s="10">
        <f t="shared" si="0"/>
        <v>5.3557531962201171E-2</v>
      </c>
      <c r="M6" s="7">
        <v>191.5</v>
      </c>
      <c r="N6" s="48">
        <v>0.16</v>
      </c>
      <c r="O6" s="78" cm="1">
        <f t="array" ref="O6">IF(M6&lt;12.5, 0,
IF(M6&lt;29, 6.25,
IF(M6&lt;50, 6.5,
IF(M6&lt;79, 6.75,
VALUE(SUBSTITUTE(
INDEX(RESUMO!$J$2:$J$100, MATCH(1,
(D6&gt;=RESUMO!$H$2:$H$100)*(D6&lt;=RESUMO!$I$2:$I$100)*(M6&gt;=RESUMO!$K$2:$K$100)*(M6&lt;=RESUMO!$L$2:$L$100),
0)), "R$ ", ""))
))))</f>
        <v>21.1</v>
      </c>
      <c r="P6" s="9">
        <v>0</v>
      </c>
      <c r="Q6" s="10">
        <f t="shared" si="1"/>
        <v>5.4224543080940026E-2</v>
      </c>
      <c r="R6" s="5">
        <f t="shared" si="2"/>
        <v>134.035</v>
      </c>
      <c r="S6" s="5">
        <f t="shared" si="3"/>
        <v>9.6349999999999909</v>
      </c>
      <c r="T6" s="5">
        <f t="shared" si="4"/>
        <v>134.78400000000002</v>
      </c>
      <c r="U6" s="5">
        <f t="shared" si="5"/>
        <v>10.384000000000015</v>
      </c>
    </row>
    <row r="7" spans="1:21" x14ac:dyDescent="0.25">
      <c r="A7" s="11" t="s">
        <v>33</v>
      </c>
      <c r="B7" s="6" t="s">
        <v>62</v>
      </c>
      <c r="C7" s="9">
        <v>883.54</v>
      </c>
      <c r="D7" s="6">
        <v>9</v>
      </c>
      <c r="E7" s="8">
        <v>0.04</v>
      </c>
      <c r="F7" s="49">
        <v>40.409999999999997</v>
      </c>
      <c r="G7" s="9">
        <v>2</v>
      </c>
      <c r="H7" s="9">
        <v>995</v>
      </c>
      <c r="I7" s="48">
        <v>0.11</v>
      </c>
      <c r="J7" s="78" cm="1">
        <f t="array" ref="J7">IF(H7&lt;12.5, H7/2,
IF(H7&lt;29, 6.25,
IF(H7&lt;50, 6.5,
IF(H7&lt;79, 6.75,
VALUE(SUBSTITUTE(
INDEX(RESUMO!$J$2:$J$100, MATCH(1,
(D7&gt;=RESUMO!$H$2:$H$100)*(D7&lt;=RESUMO!$I$2:$I$100)*(H7&gt;=RESUMO!$K$2:$K$100)*(H7&lt;=RESUMO!$L$2:$L$100),
0)), "R$ ", ""))
))))</f>
        <v>44.45</v>
      </c>
      <c r="K7" s="9">
        <v>0</v>
      </c>
      <c r="L7" s="10">
        <f t="shared" si="0"/>
        <v>-3.7559396984924678E-2</v>
      </c>
      <c r="M7" s="7">
        <v>1099</v>
      </c>
      <c r="N7" s="48">
        <v>0.16</v>
      </c>
      <c r="O7" s="78" cm="1">
        <f t="array" ref="O7">IF(M7&lt;12.5, 0,
IF(M7&lt;29, 6.25,
IF(M7&lt;50, 6.5,
IF(M7&lt;79, 6.75,
VALUE(SUBSTITUTE(
INDEX(RESUMO!$J$2:$J$100, MATCH(1,
(D7&gt;=RESUMO!$H$2:$H$100)*(D7&lt;=RESUMO!$I$2:$I$100)*(M7&gt;=RESUMO!$K$2:$K$100)*(M7&lt;=RESUMO!$L$2:$L$100),
0)), "R$ ", ""))
))))</f>
        <v>44.45</v>
      </c>
      <c r="P7" s="9">
        <v>0</v>
      </c>
      <c r="Q7" s="10">
        <f t="shared" si="1"/>
        <v>2.169244767970482E-4</v>
      </c>
      <c r="R7" s="5">
        <f t="shared" si="2"/>
        <v>805.75839999999994</v>
      </c>
      <c r="S7" s="5">
        <f t="shared" si="3"/>
        <v>-37.371600000000058</v>
      </c>
      <c r="T7" s="5">
        <f t="shared" si="4"/>
        <v>843.36839999999995</v>
      </c>
      <c r="U7" s="5">
        <f t="shared" si="5"/>
        <v>0.23839999999995598</v>
      </c>
    </row>
    <row r="8" spans="1:21" x14ac:dyDescent="0.25">
      <c r="A8" s="11" t="s">
        <v>25</v>
      </c>
      <c r="B8" s="6" t="s">
        <v>63</v>
      </c>
      <c r="C8" s="9">
        <v>363.46</v>
      </c>
      <c r="D8" s="6">
        <v>13</v>
      </c>
      <c r="E8" s="8">
        <v>0.04</v>
      </c>
      <c r="F8" s="49">
        <v>0</v>
      </c>
      <c r="G8" s="9">
        <v>2</v>
      </c>
      <c r="H8" s="9">
        <v>449.9</v>
      </c>
      <c r="I8" s="48">
        <v>0.11</v>
      </c>
      <c r="J8" s="78" cm="1">
        <f t="array" ref="J8">IF(H8&lt;12.5, H8/2,
IF(H8&lt;29, 6.25,
IF(H8&lt;50, 6.5,
IF(H8&lt;79, 6.75,
VALUE(SUBSTITUTE(
INDEX(RESUMO!$J$2:$J$100, MATCH(1,
(D8&gt;=RESUMO!$H$2:$H$100)*(D8&lt;=RESUMO!$I$2:$I$100)*(H8&gt;=RESUMO!$K$2:$K$100)*(H8&lt;=RESUMO!$L$2:$L$100),
0)), "R$ ", ""))
))))</f>
        <v>65.95</v>
      </c>
      <c r="K8" s="9">
        <v>0</v>
      </c>
      <c r="L8" s="10">
        <f t="shared" si="0"/>
        <v>-9.6771282507223819E-2</v>
      </c>
      <c r="M8" s="7">
        <v>565</v>
      </c>
      <c r="N8" s="48">
        <v>0.16</v>
      </c>
      <c r="O8" s="78" cm="1">
        <f t="array" ref="O8">IF(M8&lt;12.5, 0,
IF(M8&lt;29, 6.25,
IF(M8&lt;50, 6.5,
IF(M8&lt;79, 6.75,
VALUE(SUBSTITUTE(
INDEX(RESUMO!$J$2:$J$100, MATCH(1,
(D8&gt;=RESUMO!$H$2:$H$100)*(D8&lt;=RESUMO!$I$2:$I$100)*(M8&gt;=RESUMO!$K$2:$K$100)*(M8&lt;=RESUMO!$L$2:$L$100),
0)), "R$ ", ""))
))))</f>
        <v>65.95</v>
      </c>
      <c r="P8" s="9">
        <v>0</v>
      </c>
      <c r="Q8" s="10">
        <f t="shared" si="1"/>
        <v>5.4250619469026602E-2</v>
      </c>
      <c r="R8" s="5">
        <f t="shared" si="2"/>
        <v>319.92259999999999</v>
      </c>
      <c r="S8" s="5">
        <f t="shared" si="3"/>
        <v>-43.537399999999991</v>
      </c>
      <c r="T8" s="5">
        <f t="shared" si="4"/>
        <v>394.11160000000001</v>
      </c>
      <c r="U8" s="5">
        <f t="shared" si="5"/>
        <v>30.65160000000003</v>
      </c>
    </row>
    <row r="9" spans="1:21" x14ac:dyDescent="0.25">
      <c r="A9" s="11" t="s">
        <v>25</v>
      </c>
      <c r="B9" s="6" t="s">
        <v>64</v>
      </c>
      <c r="C9" s="9">
        <v>363.46</v>
      </c>
      <c r="D9" s="6">
        <v>13</v>
      </c>
      <c r="E9" s="8">
        <v>0.04</v>
      </c>
      <c r="F9" s="49">
        <v>0</v>
      </c>
      <c r="G9" s="9">
        <v>2</v>
      </c>
      <c r="H9" s="9">
        <v>499</v>
      </c>
      <c r="I9" s="48">
        <v>0.11</v>
      </c>
      <c r="J9" s="78" cm="1">
        <f t="array" ref="J9">IF(H9&lt;12.5, H9/2,
IF(H9&lt;29, 6.25,
IF(H9&lt;50, 6.5,
IF(H9&lt;79, 6.75,
VALUE(SUBSTITUTE(
INDEX(RESUMO!$J$2:$J$100, MATCH(1,
(D9&gt;=RESUMO!$H$2:$H$100)*(D9&lt;=RESUMO!$I$2:$I$100)*(H9&gt;=RESUMO!$K$2:$K$100)*(H9&lt;=RESUMO!$L$2:$L$100),
0)), "R$ ", ""))
))))</f>
        <v>65.95</v>
      </c>
      <c r="K9" s="9">
        <v>0</v>
      </c>
      <c r="L9" s="10">
        <f t="shared" si="0"/>
        <v>3.2384769539082423E-4</v>
      </c>
      <c r="M9" s="7">
        <v>566</v>
      </c>
      <c r="N9" s="48">
        <v>0.16</v>
      </c>
      <c r="O9" s="78" cm="1">
        <f t="array" ref="O9">IF(M9&lt;12.5, 0,
IF(M9&lt;29, 6.25,
IF(M9&lt;50, 6.5,
IF(M9&lt;79, 6.75,
VALUE(SUBSTITUTE(
INDEX(RESUMO!$J$2:$J$100, MATCH(1,
(D9&gt;=RESUMO!$H$2:$H$100)*(D9&lt;=RESUMO!$I$2:$I$100)*(M9&gt;=RESUMO!$K$2:$K$100)*(M9&lt;=RESUMO!$L$2:$L$100),
0)), "R$ ", ""))
))))</f>
        <v>65.95</v>
      </c>
      <c r="P9" s="9">
        <v>0</v>
      </c>
      <c r="Q9" s="10">
        <f t="shared" si="1"/>
        <v>5.5638869257950536E-2</v>
      </c>
      <c r="R9" s="5">
        <f t="shared" si="2"/>
        <v>363.6216</v>
      </c>
      <c r="S9" s="5">
        <f t="shared" si="3"/>
        <v>0.16160000000002128</v>
      </c>
      <c r="T9" s="5">
        <f t="shared" si="4"/>
        <v>394.95159999999998</v>
      </c>
      <c r="U9" s="5">
        <f t="shared" si="5"/>
        <v>31.491600000000005</v>
      </c>
    </row>
    <row r="10" spans="1:21" x14ac:dyDescent="0.25">
      <c r="A10" s="11" t="s">
        <v>33</v>
      </c>
      <c r="B10" s="6" t="s">
        <v>65</v>
      </c>
      <c r="C10" s="9">
        <v>86.88</v>
      </c>
      <c r="D10" s="6">
        <v>0.3</v>
      </c>
      <c r="E10" s="8">
        <v>0.04</v>
      </c>
      <c r="F10" s="49">
        <v>0</v>
      </c>
      <c r="G10" s="9">
        <v>2</v>
      </c>
      <c r="H10" s="9">
        <v>130.5</v>
      </c>
      <c r="I10" s="48">
        <v>0.12</v>
      </c>
      <c r="J10" s="78" cm="1">
        <f t="array" ref="J10">IF(H10&lt;12.5, H10/2,
IF(H10&lt;29, 6.25,
IF(H10&lt;50, 6.5,
IF(H10&lt;79, 6.75,
VALUE(SUBSTITUTE(
INDEX(RESUMO!$J$2:$J$100, MATCH(1,
(D10&gt;=RESUMO!$H$2:$H$100)*(D10&lt;=RESUMO!$I$2:$I$100)*(H10&gt;=RESUMO!$K$2:$K$100)*(H10&lt;=RESUMO!$L$2:$L$100),
0)), "R$ ", ""))
))))</f>
        <v>15.96</v>
      </c>
      <c r="K10" s="9">
        <v>0</v>
      </c>
      <c r="L10" s="10">
        <f t="shared" si="0"/>
        <v>6.5324137931034476E-2</v>
      </c>
      <c r="M10" s="7">
        <v>139.5</v>
      </c>
      <c r="N10" s="48">
        <v>0.17</v>
      </c>
      <c r="O10" s="78" cm="1">
        <f t="array" ref="O10">IF(M10&lt;12.5, 0,
IF(M10&lt;29, 6.25,
IF(M10&lt;50, 6.5,
IF(M10&lt;79, 6.75,
VALUE(SUBSTITUTE(
INDEX(RESUMO!$J$2:$J$100, MATCH(1,
(D10&gt;=RESUMO!$H$2:$H$100)*(D10&lt;=RESUMO!$I$2:$I$100)*(M10&gt;=RESUMO!$K$2:$K$100)*(M10&lt;=RESUMO!$L$2:$L$100),
0)), "R$ ", ""))
))))</f>
        <v>15.96</v>
      </c>
      <c r="P10" s="9">
        <v>0</v>
      </c>
      <c r="Q10" s="10">
        <f t="shared" si="1"/>
        <v>6.7883870967741886E-2</v>
      </c>
      <c r="R10" s="5">
        <f t="shared" si="2"/>
        <v>95.404799999999994</v>
      </c>
      <c r="S10" s="5">
        <f t="shared" si="3"/>
        <v>8.524799999999999</v>
      </c>
      <c r="T10" s="5">
        <f t="shared" si="4"/>
        <v>96.349799999999988</v>
      </c>
      <c r="U10" s="5">
        <f t="shared" si="5"/>
        <v>9.4697999999999922</v>
      </c>
    </row>
    <row r="11" spans="1:21" x14ac:dyDescent="0.25">
      <c r="A11" s="11" t="s">
        <v>33</v>
      </c>
      <c r="B11" s="6" t="s">
        <v>66</v>
      </c>
      <c r="C11" s="9">
        <v>1167.99</v>
      </c>
      <c r="D11" s="6">
        <v>23</v>
      </c>
      <c r="E11" s="8">
        <v>0.04</v>
      </c>
      <c r="F11" s="49">
        <v>0</v>
      </c>
      <c r="G11" s="9">
        <v>2</v>
      </c>
      <c r="H11" s="9">
        <v>1549.9</v>
      </c>
      <c r="I11" s="48">
        <v>0.11</v>
      </c>
      <c r="J11" s="78" cm="1">
        <f t="array" ref="J11">IF(H11&lt;12.5, H11/2,
IF(H11&lt;29, 6.25,
IF(H11&lt;50, 6.5,
IF(H11&lt;79, 6.75,
VALUE(SUBSTITUTE(
INDEX(RESUMO!$J$2:$J$100, MATCH(1,
(D11&gt;=RESUMO!$H$2:$H$100)*(D11&lt;=RESUMO!$I$2:$I$100)*(H11&gt;=RESUMO!$K$2:$K$100)*(H11&lt;=RESUMO!$L$2:$L$100),
0)), "R$ ", ""))
))))</f>
        <v>85.95</v>
      </c>
      <c r="K11" s="9">
        <v>0</v>
      </c>
      <c r="L11" s="10">
        <f t="shared" si="0"/>
        <v>5.081063294406097E-2</v>
      </c>
      <c r="M11" s="7">
        <v>1759.12</v>
      </c>
      <c r="N11" s="48">
        <v>0.16</v>
      </c>
      <c r="O11" s="78" cm="1">
        <f t="array" ref="O11">IF(M11&lt;12.5, 0,
IF(M11&lt;29, 6.25,
IF(M11&lt;50, 6.5,
IF(M11&lt;79, 6.75,
VALUE(SUBSTITUTE(
INDEX(RESUMO!$J$2:$J$100, MATCH(1,
(D11&gt;=RESUMO!$H$2:$H$100)*(D11&lt;=RESUMO!$I$2:$I$100)*(M11&gt;=RESUMO!$K$2:$K$100)*(M11&lt;=RESUMO!$L$2:$L$100),
0)), "R$ ", ""))
))))</f>
        <v>85.95</v>
      </c>
      <c r="P11" s="9">
        <v>0</v>
      </c>
      <c r="Q11" s="10">
        <f t="shared" si="1"/>
        <v>0.10061917322297509</v>
      </c>
      <c r="R11" s="5">
        <f t="shared" si="2"/>
        <v>1246.7414000000001</v>
      </c>
      <c r="S11" s="5">
        <f t="shared" si="3"/>
        <v>78.751400000000103</v>
      </c>
      <c r="T11" s="5">
        <f t="shared" si="4"/>
        <v>1344.9911999999999</v>
      </c>
      <c r="U11" s="5">
        <f t="shared" si="5"/>
        <v>177.00119999999993</v>
      </c>
    </row>
    <row r="12" spans="1:21" x14ac:dyDescent="0.25">
      <c r="A12" s="11" t="s">
        <v>33</v>
      </c>
      <c r="B12" s="6" t="s">
        <v>67</v>
      </c>
      <c r="C12" s="9">
        <v>459.3</v>
      </c>
      <c r="D12" s="6">
        <v>13</v>
      </c>
      <c r="E12" s="8">
        <v>0.04</v>
      </c>
      <c r="F12" s="49">
        <v>0</v>
      </c>
      <c r="G12" s="9">
        <v>2</v>
      </c>
      <c r="H12" s="9">
        <v>549</v>
      </c>
      <c r="I12" s="48">
        <v>0.11</v>
      </c>
      <c r="J12" s="78" cm="1">
        <f t="array" ref="J12">IF(H12&lt;12.5, H12/2,
IF(H12&lt;29, 6.25,
IF(H12&lt;50, 6.5,
IF(H12&lt;79, 6.75,
VALUE(SUBSTITUTE(
INDEX(RESUMO!$J$2:$J$100, MATCH(1,
(D12&gt;=RESUMO!$H$2:$H$100)*(D12&lt;=RESUMO!$I$2:$I$100)*(H12&gt;=RESUMO!$K$2:$K$100)*(H12&lt;=RESUMO!$L$2:$L$100),
0)), "R$ ", ""))
))))</f>
        <v>65.95</v>
      </c>
      <c r="K12" s="9">
        <v>0</v>
      </c>
      <c r="L12" s="10">
        <f t="shared" si="0"/>
        <v>-0.10020400728597451</v>
      </c>
      <c r="M12" s="7">
        <v>689</v>
      </c>
      <c r="N12" s="48">
        <v>0.16</v>
      </c>
      <c r="O12" s="78" cm="1">
        <f t="array" ref="O12">IF(M12&lt;12.5, 0,
IF(M12&lt;29, 6.25,
IF(M12&lt;50, 6.5,
IF(M12&lt;79, 6.75,
VALUE(SUBSTITUTE(
INDEX(RESUMO!$J$2:$J$100, MATCH(1,
(D12&gt;=RESUMO!$H$2:$H$100)*(D12&lt;=RESUMO!$I$2:$I$100)*(M12&gt;=RESUMO!$K$2:$K$100)*(M12&lt;=RESUMO!$L$2:$L$100),
0)), "R$ ", ""))
))))</f>
        <v>65.95</v>
      </c>
      <c r="P12" s="9">
        <v>0</v>
      </c>
      <c r="Q12" s="10">
        <f t="shared" si="1"/>
        <v>5.0998548621190014E-2</v>
      </c>
      <c r="R12" s="5">
        <f t="shared" si="2"/>
        <v>404.28800000000001</v>
      </c>
      <c r="S12" s="5">
        <f t="shared" si="3"/>
        <v>-55.012</v>
      </c>
      <c r="T12" s="5">
        <f t="shared" si="4"/>
        <v>494.43799999999993</v>
      </c>
      <c r="U12" s="5">
        <f t="shared" si="5"/>
        <v>35.13799999999992</v>
      </c>
    </row>
    <row r="13" spans="1:21" x14ac:dyDescent="0.25">
      <c r="A13" s="11" t="s">
        <v>33</v>
      </c>
      <c r="B13" s="6" t="s">
        <v>68</v>
      </c>
      <c r="C13" s="9">
        <v>487.97</v>
      </c>
      <c r="D13" s="6">
        <v>13</v>
      </c>
      <c r="E13" s="8">
        <v>0.04</v>
      </c>
      <c r="F13" s="49">
        <v>0</v>
      </c>
      <c r="G13" s="9">
        <v>2</v>
      </c>
      <c r="H13" s="9">
        <v>685</v>
      </c>
      <c r="I13" s="48">
        <v>0.11</v>
      </c>
      <c r="J13" s="78" cm="1">
        <f t="array" ref="J13">IF(H13&lt;12.5, H13/2,
IF(H13&lt;29, 6.25,
IF(H13&lt;50, 6.5,
IF(H13&lt;79, 6.75,
VALUE(SUBSTITUTE(
INDEX(RESUMO!$J$2:$J$100, MATCH(1,
(D13&gt;=RESUMO!$H$2:$H$100)*(D13&lt;=RESUMO!$I$2:$I$100)*(H13&gt;=RESUMO!$K$2:$K$100)*(H13&lt;=RESUMO!$L$2:$L$100),
0)), "R$ ", ""))
))))</f>
        <v>65.95</v>
      </c>
      <c r="K13" s="9">
        <v>0</v>
      </c>
      <c r="L13" s="10">
        <f t="shared" si="0"/>
        <v>5.2863065693430439E-2</v>
      </c>
      <c r="M13" s="7">
        <v>749</v>
      </c>
      <c r="N13" s="48">
        <v>0.16</v>
      </c>
      <c r="O13" s="78" cm="1">
        <f t="array" ref="O13">IF(M13&lt;12.5, 0,
IF(M13&lt;29, 6.25,
IF(M13&lt;50, 6.5,
IF(M13&lt;79, 6.75,
VALUE(SUBSTITUTE(
INDEX(RESUMO!$J$2:$J$100, MATCH(1,
(D13&gt;=RESUMO!$H$2:$H$100)*(D13&lt;=RESUMO!$I$2:$I$100)*(M13&gt;=RESUMO!$K$2:$K$100)*(M13&lt;=RESUMO!$L$2:$L$100),
0)), "R$ ", ""))
))))</f>
        <v>65.95</v>
      </c>
      <c r="P13" s="9">
        <v>0</v>
      </c>
      <c r="Q13" s="10">
        <f t="shared" si="1"/>
        <v>7.4394125500667346E-2</v>
      </c>
      <c r="R13" s="5">
        <f t="shared" si="2"/>
        <v>524.18119999999988</v>
      </c>
      <c r="S13" s="5">
        <f t="shared" si="3"/>
        <v>36.211199999999849</v>
      </c>
      <c r="T13" s="5">
        <f t="shared" si="4"/>
        <v>543.69119999999987</v>
      </c>
      <c r="U13" s="5">
        <f t="shared" si="5"/>
        <v>55.72119999999984</v>
      </c>
    </row>
    <row r="14" spans="1:21" x14ac:dyDescent="0.25">
      <c r="A14" s="11" t="s">
        <v>25</v>
      </c>
      <c r="B14" s="6" t="s">
        <v>69</v>
      </c>
      <c r="C14" s="9">
        <v>539.91</v>
      </c>
      <c r="D14" s="6">
        <v>23</v>
      </c>
      <c r="E14" s="8">
        <v>0.04</v>
      </c>
      <c r="F14" s="49">
        <v>0</v>
      </c>
      <c r="G14" s="9">
        <v>2</v>
      </c>
      <c r="H14" s="9">
        <v>775</v>
      </c>
      <c r="I14" s="48">
        <v>0.11</v>
      </c>
      <c r="J14" s="78" cm="1">
        <f t="array" ref="J14">IF(H14&lt;12.5, H14/2,
IF(H14&lt;29, 6.25,
IF(H14&lt;50, 6.5,
IF(H14&lt;79, 6.75,
VALUE(SUBSTITUTE(
INDEX(RESUMO!$J$2:$J$100, MATCH(1,
(D14&gt;=RESUMO!$H$2:$H$100)*(D14&lt;=RESUMO!$I$2:$I$100)*(H14&gt;=RESUMO!$K$2:$K$100)*(H14&lt;=RESUMO!$L$2:$L$100),
0)), "R$ ", ""))
))))</f>
        <v>85.95</v>
      </c>
      <c r="K14" s="9">
        <v>0</v>
      </c>
      <c r="L14" s="10">
        <f t="shared" si="0"/>
        <v>5.4572387096774151E-2</v>
      </c>
      <c r="M14" s="7">
        <v>825</v>
      </c>
      <c r="N14" s="48">
        <v>0.16</v>
      </c>
      <c r="O14" s="78" cm="1">
        <f t="array" ref="O14">IF(M14&lt;12.5, 0,
IF(M14&lt;29, 6.25,
IF(M14&lt;50, 6.5,
IF(M14&lt;79, 6.75,
VALUE(SUBSTITUTE(
INDEX(RESUMO!$J$2:$J$100, MATCH(1,
(D14&gt;=RESUMO!$H$2:$H$100)*(D14&lt;=RESUMO!$I$2:$I$100)*(M14&gt;=RESUMO!$K$2:$K$100)*(M14&lt;=RESUMO!$L$2:$L$100),
0)), "R$ ", ""))
))))</f>
        <v>85.95</v>
      </c>
      <c r="P14" s="9">
        <v>0</v>
      </c>
      <c r="Q14" s="10">
        <f t="shared" si="1"/>
        <v>5.52043636363636E-2</v>
      </c>
      <c r="R14" s="5">
        <f t="shared" si="2"/>
        <v>582.20359999999994</v>
      </c>
      <c r="S14" s="5">
        <f t="shared" si="3"/>
        <v>42.293599999999969</v>
      </c>
      <c r="T14" s="5">
        <f t="shared" si="4"/>
        <v>585.45359999999994</v>
      </c>
      <c r="U14" s="5">
        <f t="shared" si="5"/>
        <v>45.543599999999969</v>
      </c>
    </row>
    <row r="15" spans="1:21" x14ac:dyDescent="0.25">
      <c r="A15" s="11" t="s">
        <v>33</v>
      </c>
      <c r="B15" s="6" t="s">
        <v>70</v>
      </c>
      <c r="C15" s="9">
        <v>487.97</v>
      </c>
      <c r="D15" s="6">
        <v>17</v>
      </c>
      <c r="E15" s="8">
        <v>0.04</v>
      </c>
      <c r="F15" s="49">
        <v>0</v>
      </c>
      <c r="G15" s="9">
        <v>2</v>
      </c>
      <c r="H15" s="9">
        <v>599</v>
      </c>
      <c r="I15" s="48">
        <v>0.11</v>
      </c>
      <c r="J15" s="78" cm="1">
        <f t="array" ref="J15">IF(H15&lt;12.5, H15/2,
IF(H15&lt;29, 6.25,
IF(H15&lt;50, 6.5,
IF(H15&lt;79, 6.75,
VALUE(SUBSTITUTE(
INDEX(RESUMO!$J$2:$J$100, MATCH(1,
(D15&gt;=RESUMO!$H$2:$H$100)*(D15&lt;=RESUMO!$I$2:$I$100)*(H15&gt;=RESUMO!$K$2:$K$100)*(H15&lt;=RESUMO!$L$2:$L$100),
0)), "R$ ", ""))
))))</f>
        <v>73.45</v>
      </c>
      <c r="K15" s="9">
        <v>0</v>
      </c>
      <c r="L15" s="10">
        <f t="shared" si="0"/>
        <v>-7.9847746243739567E-2</v>
      </c>
      <c r="M15" s="7">
        <v>739.9</v>
      </c>
      <c r="N15" s="48">
        <v>0.16</v>
      </c>
      <c r="O15" s="78" cm="1">
        <f t="array" ref="O15">IF(M15&lt;12.5, 0,
IF(M15&lt;29, 6.25,
IF(M15&lt;50, 6.5,
IF(M15&lt;79, 6.75,
VALUE(SUBSTITUTE(
INDEX(RESUMO!$J$2:$J$100, MATCH(1,
(D15&gt;=RESUMO!$H$2:$H$100)*(D15&lt;=RESUMO!$I$2:$I$100)*(M15&gt;=RESUMO!$K$2:$K$100)*(M15&lt;=RESUMO!$L$2:$L$100),
0)), "R$ ", ""))
))))</f>
        <v>73.45</v>
      </c>
      <c r="P15" s="9">
        <v>0</v>
      </c>
      <c r="Q15" s="10">
        <f t="shared" si="1"/>
        <v>5.4841465062846109E-2</v>
      </c>
      <c r="R15" s="5">
        <f t="shared" si="2"/>
        <v>440.14120000000003</v>
      </c>
      <c r="S15" s="5">
        <f t="shared" si="3"/>
        <v>-47.828800000000001</v>
      </c>
      <c r="T15" s="5">
        <f t="shared" si="4"/>
        <v>528.54719999999986</v>
      </c>
      <c r="U15" s="5">
        <f t="shared" si="5"/>
        <v>40.577199999999834</v>
      </c>
    </row>
    <row r="16" spans="1:21" x14ac:dyDescent="0.25">
      <c r="A16" s="11" t="s">
        <v>33</v>
      </c>
      <c r="B16" s="6" t="s">
        <v>71</v>
      </c>
      <c r="C16" s="9">
        <v>508.95</v>
      </c>
      <c r="D16" s="6">
        <v>30</v>
      </c>
      <c r="E16" s="8">
        <v>0.04</v>
      </c>
      <c r="F16" s="49">
        <v>0</v>
      </c>
      <c r="G16" s="9">
        <v>2</v>
      </c>
      <c r="H16" s="9">
        <v>671</v>
      </c>
      <c r="I16" s="48">
        <v>0.11</v>
      </c>
      <c r="J16" s="78" cm="1">
        <f t="array" ref="J16">IF(H16&lt;12.5, H16/2,
IF(H16&lt;29, 6.25,
IF(H16&lt;50, 6.5,
IF(H16&lt;79, 6.75,
VALUE(SUBSTITUTE(
INDEX(RESUMO!$J$2:$J$100, MATCH(1,
(D16&gt;=RESUMO!$H$2:$H$100)*(D16&lt;=RESUMO!$I$2:$I$100)*(H16&gt;=RESUMO!$K$2:$K$100)*(H16&lt;=RESUMO!$L$2:$L$100),
0)), "R$ ", ""))
))))</f>
        <v>98.95</v>
      </c>
      <c r="K16" s="9">
        <v>0</v>
      </c>
      <c r="L16" s="10">
        <f t="shared" si="0"/>
        <v>-4.6301043219075896E-2</v>
      </c>
      <c r="M16" s="7">
        <v>764.9</v>
      </c>
      <c r="N16" s="48">
        <v>0.16</v>
      </c>
      <c r="O16" s="78" cm="1">
        <f t="array" ref="O16">IF(M16&lt;12.5, 0,
IF(M16&lt;29, 6.25,
IF(M16&lt;50, 6.5,
IF(M16&lt;79, 6.75,
VALUE(SUBSTITUTE(
INDEX(RESUMO!$J$2:$J$100, MATCH(1,
(D16&gt;=RESUMO!$H$2:$H$100)*(D16&lt;=RESUMO!$I$2:$I$100)*(M16&gt;=RESUMO!$K$2:$K$100)*(M16&lt;=RESUMO!$L$2:$L$100),
0)), "R$ ", ""))
))))</f>
        <v>98.95</v>
      </c>
      <c r="P16" s="9">
        <v>0</v>
      </c>
      <c r="Q16" s="10">
        <f t="shared" si="1"/>
        <v>1.8640345143155945E-2</v>
      </c>
      <c r="R16" s="5">
        <f t="shared" si="2"/>
        <v>477.88200000000006</v>
      </c>
      <c r="S16" s="5">
        <f t="shared" si="3"/>
        <v>-31.067999999999927</v>
      </c>
      <c r="T16" s="5">
        <f t="shared" si="4"/>
        <v>523.20799999999997</v>
      </c>
      <c r="U16" s="5">
        <f t="shared" si="5"/>
        <v>14.257999999999981</v>
      </c>
    </row>
    <row r="17" spans="1:21" x14ac:dyDescent="0.25">
      <c r="A17" s="11" t="s">
        <v>25</v>
      </c>
      <c r="B17" s="6" t="s">
        <v>72</v>
      </c>
      <c r="C17" s="9">
        <v>526.69000000000005</v>
      </c>
      <c r="D17" s="6">
        <v>17</v>
      </c>
      <c r="E17" s="8">
        <v>0.04</v>
      </c>
      <c r="F17" s="49">
        <v>0</v>
      </c>
      <c r="G17" s="9">
        <v>2</v>
      </c>
      <c r="H17" s="9">
        <v>699</v>
      </c>
      <c r="I17" s="48">
        <v>0.11</v>
      </c>
      <c r="J17" s="78" cm="1">
        <f t="array" ref="J17">IF(H17&lt;12.5, H17/2,
IF(H17&lt;29, 6.25,
IF(H17&lt;50, 6.5,
IF(H17&lt;79, 6.75,
VALUE(SUBSTITUTE(
INDEX(RESUMO!$J$2:$J$100, MATCH(1,
(D17&gt;=RESUMO!$H$2:$H$100)*(D17&lt;=RESUMO!$I$2:$I$100)*(H17&gt;=RESUMO!$K$2:$K$100)*(H17&lt;=RESUMO!$L$2:$L$100),
0)), "R$ ", ""))
))))</f>
        <v>73.45</v>
      </c>
      <c r="K17" s="78">
        <v>0</v>
      </c>
      <c r="L17" s="10">
        <f t="shared" si="0"/>
        <v>1.2909871244634382E-3</v>
      </c>
      <c r="M17" s="7">
        <v>739.9</v>
      </c>
      <c r="N17" s="48">
        <v>0.16</v>
      </c>
      <c r="O17" s="78" cm="1">
        <f t="array" ref="O17">IF(M17&lt;12.5, 0,
IF(M17&lt;29, 6.25,
IF(M17&lt;50, 6.5,
IF(M17&lt;79, 6.75,
VALUE(SUBSTITUTE(
INDEX(RESUMO!$J$2:$J$100, MATCH(1,
(D17&gt;=RESUMO!$H$2:$H$100)*(D17&lt;=RESUMO!$I$2:$I$100)*(M17&gt;=RESUMO!$K$2:$K$100)*(M17&lt;=RESUMO!$L$2:$L$100),
0)), "R$ ", ""))
))))</f>
        <v>73.45</v>
      </c>
      <c r="P17" s="9">
        <v>0</v>
      </c>
      <c r="Q17" s="10">
        <f t="shared" si="1"/>
        <v>4.168130828488881E-4</v>
      </c>
      <c r="R17" s="5">
        <f t="shared" si="2"/>
        <v>527.5924</v>
      </c>
      <c r="S17" s="5">
        <f t="shared" si="3"/>
        <v>0.90239999999994325</v>
      </c>
      <c r="T17" s="5">
        <f t="shared" si="4"/>
        <v>526.99839999999995</v>
      </c>
      <c r="U17" s="5">
        <f t="shared" si="5"/>
        <v>0.30839999999989232</v>
      </c>
    </row>
    <row r="18" spans="1:21" x14ac:dyDescent="0.25">
      <c r="A18" s="11" t="s">
        <v>33</v>
      </c>
      <c r="B18" s="6" t="s">
        <v>73</v>
      </c>
      <c r="C18" s="9">
        <v>549.54</v>
      </c>
      <c r="D18" s="6">
        <v>17</v>
      </c>
      <c r="E18" s="8">
        <v>0.04</v>
      </c>
      <c r="F18" s="49">
        <v>0</v>
      </c>
      <c r="G18" s="9">
        <v>2</v>
      </c>
      <c r="H18" s="9">
        <v>740</v>
      </c>
      <c r="I18" s="48">
        <v>0.11</v>
      </c>
      <c r="J18" s="78" cm="1">
        <f t="array" ref="J18">IF(H18&lt;12.5, H18/2,
IF(H18&lt;29, 6.25,
IF(H18&lt;50, 6.5,
IF(H18&lt;79, 6.75,
VALUE(SUBSTITUTE(
INDEX(RESUMO!$J$2:$J$100, MATCH(1,
(D18&gt;=RESUMO!$H$2:$H$100)*(D18&lt;=RESUMO!$I$2:$I$100)*(H18&gt;=RESUMO!$K$2:$K$100)*(H18&lt;=RESUMO!$L$2:$L$100),
0)), "R$ ", ""))
))))</f>
        <v>73.45</v>
      </c>
      <c r="K18" s="78">
        <v>0</v>
      </c>
      <c r="L18" s="10">
        <f t="shared" si="0"/>
        <v>1.8416756756756834E-2</v>
      </c>
      <c r="M18" s="7">
        <v>775</v>
      </c>
      <c r="N18" s="48">
        <v>0.16</v>
      </c>
      <c r="O18" s="78" cm="1">
        <f t="array" ref="O18">IF(M18&lt;12.5, 0,
IF(M18&lt;29, 6.25,
IF(M18&lt;50, 6.5,
IF(M18&lt;79, 6.75,
VALUE(SUBSTITUTE(
INDEX(RESUMO!$J$2:$J$100, MATCH(1,
(D18&gt;=RESUMO!$H$2:$H$100)*(D18&lt;=RESUMO!$I$2:$I$100)*(M18&gt;=RESUMO!$K$2:$K$100)*(M18&lt;=RESUMO!$L$2:$L$100),
0)), "R$ ", ""))
))))</f>
        <v>73.45</v>
      </c>
      <c r="P18" s="9">
        <v>0</v>
      </c>
      <c r="Q18" s="10">
        <f t="shared" si="1"/>
        <v>7.7785806451613334E-3</v>
      </c>
      <c r="R18" s="5">
        <f t="shared" si="2"/>
        <v>563.16840000000002</v>
      </c>
      <c r="S18" s="5">
        <f t="shared" si="3"/>
        <v>13.628400000000056</v>
      </c>
      <c r="T18" s="5">
        <f t="shared" si="4"/>
        <v>555.5684</v>
      </c>
      <c r="U18" s="5">
        <f t="shared" si="5"/>
        <v>6.0284000000000333</v>
      </c>
    </row>
    <row r="19" spans="1:21" x14ac:dyDescent="0.25">
      <c r="A19" s="11" t="s">
        <v>33</v>
      </c>
      <c r="B19" s="6" t="s">
        <v>74</v>
      </c>
      <c r="C19" s="9">
        <v>631.66999999999996</v>
      </c>
      <c r="D19" s="6">
        <v>17</v>
      </c>
      <c r="E19" s="8">
        <v>0.04</v>
      </c>
      <c r="F19" s="49">
        <v>0</v>
      </c>
      <c r="G19" s="9">
        <v>2</v>
      </c>
      <c r="H19" s="9">
        <v>875</v>
      </c>
      <c r="I19" s="48">
        <v>0.11</v>
      </c>
      <c r="J19" s="78" cm="1">
        <f t="array" ref="J19">IF(H19&lt;12.5, H19/2,
IF(H19&lt;29, 6.25,
IF(H19&lt;50, 6.5,
IF(H19&lt;79, 6.75,
VALUE(SUBSTITUTE(
INDEX(RESUMO!$J$2:$J$100, MATCH(1,
(D19&gt;=RESUMO!$H$2:$H$100)*(D19&lt;=RESUMO!$I$2:$I$100)*(H19&gt;=RESUMO!$K$2:$K$100)*(H19&lt;=RESUMO!$L$2:$L$100),
0)), "R$ ", ""))
))))</f>
        <v>73.45</v>
      </c>
      <c r="K19" s="78">
        <v>0</v>
      </c>
      <c r="L19" s="10">
        <f t="shared" si="0"/>
        <v>5.5272228571428578E-2</v>
      </c>
      <c r="M19" s="7">
        <v>925</v>
      </c>
      <c r="N19" s="48">
        <v>0.16</v>
      </c>
      <c r="O19" s="78" cm="1">
        <f t="array" ref="O19">IF(M19&lt;12.5, 0,
IF(M19&lt;29, 6.25,
IF(M19&lt;50, 6.5,
IF(M19&lt;79, 6.75,
VALUE(SUBSTITUTE(
INDEX(RESUMO!$J$2:$J$100, MATCH(1,
(D19&gt;=RESUMO!$H$2:$H$100)*(D19&lt;=RESUMO!$I$2:$I$100)*(M19&gt;=RESUMO!$K$2:$K$100)*(M19&lt;=RESUMO!$L$2:$L$100),
0)), "R$ ", ""))
))))</f>
        <v>73.45</v>
      </c>
      <c r="P19" s="9">
        <v>0</v>
      </c>
      <c r="Q19" s="10">
        <f t="shared" si="1"/>
        <v>5.0392648648648654E-2</v>
      </c>
      <c r="R19" s="5">
        <f t="shared" si="2"/>
        <v>680.03319999999997</v>
      </c>
      <c r="S19" s="5">
        <f t="shared" si="3"/>
        <v>48.363200000000006</v>
      </c>
      <c r="T19" s="5">
        <f t="shared" si="4"/>
        <v>678.28319999999997</v>
      </c>
      <c r="U19" s="5">
        <f t="shared" si="5"/>
        <v>46.613200000000006</v>
      </c>
    </row>
    <row r="20" spans="1:21" x14ac:dyDescent="0.25">
      <c r="A20" s="11" t="s">
        <v>25</v>
      </c>
      <c r="B20" s="6" t="s">
        <v>75</v>
      </c>
      <c r="C20" s="9">
        <v>1771.27</v>
      </c>
      <c r="D20" s="6">
        <v>30</v>
      </c>
      <c r="E20" s="8">
        <v>0.04</v>
      </c>
      <c r="F20" s="49">
        <v>0</v>
      </c>
      <c r="G20" s="9">
        <v>0</v>
      </c>
      <c r="H20" s="9">
        <v>2149.9899999999998</v>
      </c>
      <c r="I20" s="48">
        <v>0.11</v>
      </c>
      <c r="J20" s="78" cm="1">
        <f t="array" ref="J20">IF(H20&lt;12.5, H20/2,
IF(H20&lt;29, 6.25,
IF(H20&lt;50, 6.5,
IF(H20&lt;79, 6.75,
VALUE(SUBSTITUTE(
INDEX(RESUMO!$J$2:$J$100, MATCH(1,
(D20&gt;=RESUMO!$H$2:$H$100)*(D20&lt;=RESUMO!$I$2:$I$100)*(H20&gt;=RESUMO!$K$2:$K$100)*(H20&lt;=RESUMO!$L$2:$L$100),
0)), "R$ ", ""))
))))</f>
        <v>98.95</v>
      </c>
      <c r="K20" s="78">
        <v>0</v>
      </c>
      <c r="L20" s="10">
        <f t="shared" si="0"/>
        <v>-1.2827827106172696E-2</v>
      </c>
      <c r="M20" s="7">
        <v>2435.13</v>
      </c>
      <c r="N20" s="48">
        <v>0.16</v>
      </c>
      <c r="O20" s="78" cm="1">
        <f t="array" ref="O20">IF(M20&lt;12.5, 0,
IF(M20&lt;29, 6.25,
IF(M20&lt;50, 6.5,
IF(M20&lt;79, 6.75,
VALUE(SUBSTITUTE(
INDEX(RESUMO!$J$2:$J$100, MATCH(1,
(D20&gt;=RESUMO!$H$2:$H$100)*(D20&lt;=RESUMO!$I$2:$I$100)*(M20&gt;=RESUMO!$K$2:$K$100)*(M20&lt;=RESUMO!$L$2:$L$100),
0)), "R$ ", ""))
))))</f>
        <v>98.95</v>
      </c>
      <c r="P20" s="9">
        <v>0</v>
      </c>
      <c r="Q20" s="10">
        <f t="shared" si="1"/>
        <v>4.2888223626664695E-2</v>
      </c>
      <c r="R20" s="5">
        <f t="shared" si="2"/>
        <v>1743.6902999999998</v>
      </c>
      <c r="S20" s="5">
        <f t="shared" si="3"/>
        <v>-27.57970000000023</v>
      </c>
      <c r="T20" s="5">
        <f t="shared" si="4"/>
        <v>1875.7084</v>
      </c>
      <c r="U20" s="5">
        <f t="shared" si="5"/>
        <v>104.4384</v>
      </c>
    </row>
    <row r="21" spans="1:21" x14ac:dyDescent="0.25">
      <c r="A21" s="11" t="s">
        <v>25</v>
      </c>
      <c r="B21" s="6" t="s">
        <v>76</v>
      </c>
      <c r="C21" s="9">
        <v>566.9</v>
      </c>
      <c r="D21" s="6">
        <v>17</v>
      </c>
      <c r="E21" s="8">
        <v>0.04</v>
      </c>
      <c r="F21" s="49">
        <v>0</v>
      </c>
      <c r="G21" s="9">
        <v>2</v>
      </c>
      <c r="H21" s="59">
        <v>749</v>
      </c>
      <c r="I21" s="48">
        <v>0.11</v>
      </c>
      <c r="J21" s="78" cm="1">
        <f t="array" ref="J21">IF(H21&lt;12.5, H21/2,
IF(H21&lt;29, 6.25,
IF(H21&lt;50, 6.5,
IF(H21&lt;79, 6.75,
VALUE(SUBSTITUTE(
INDEX(RESUMO!$J$2:$J$100, MATCH(1,
(D21&gt;=RESUMO!$H$2:$H$100)*(D21&lt;=RESUMO!$I$2:$I$100)*(H21&gt;=RESUMO!$K$2:$K$100)*(H21&lt;=RESUMO!$L$2:$L$100),
0)), "R$ ", ""))
))))</f>
        <v>73.45</v>
      </c>
      <c r="K21" s="78">
        <v>0</v>
      </c>
      <c r="L21" s="10">
        <f t="shared" si="0"/>
        <v>4.7850467289718909E-3</v>
      </c>
      <c r="M21" s="7">
        <v>799.9</v>
      </c>
      <c r="N21" s="48">
        <v>0.16</v>
      </c>
      <c r="O21" s="78" cm="1">
        <f t="array" ref="O21">IF(M21&lt;12.5, 0,
IF(M21&lt;29, 6.25,
IF(M21&lt;50, 6.5,
IF(M21&lt;79, 6.75,
VALUE(SUBSTITUTE(
INDEX(RESUMO!$J$2:$J$100, MATCH(1,
(D21&gt;=RESUMO!$H$2:$H$100)*(D21&lt;=RESUMO!$I$2:$I$100)*(M21&gt;=RESUMO!$K$2:$K$100)*(M21&lt;=RESUMO!$L$2:$L$100),
0)), "R$ ", ""))
))))</f>
        <v>73.45</v>
      </c>
      <c r="P21" s="9">
        <v>0</v>
      </c>
      <c r="Q21" s="10">
        <f t="shared" si="1"/>
        <v>1.111388923615436E-2</v>
      </c>
      <c r="R21" s="5">
        <f t="shared" si="2"/>
        <v>570.48399999999992</v>
      </c>
      <c r="S21" s="5">
        <f t="shared" si="3"/>
        <v>3.5839999999999463</v>
      </c>
      <c r="T21" s="5">
        <f t="shared" si="4"/>
        <v>575.78999999999985</v>
      </c>
      <c r="U21" s="5">
        <f t="shared" si="5"/>
        <v>8.8899999999998727</v>
      </c>
    </row>
    <row r="22" spans="1:21" x14ac:dyDescent="0.25">
      <c r="A22" s="11" t="s">
        <v>25</v>
      </c>
      <c r="B22" s="6" t="s">
        <v>77</v>
      </c>
      <c r="C22" s="9">
        <v>439.02</v>
      </c>
      <c r="D22" s="6">
        <v>17</v>
      </c>
      <c r="E22" s="8">
        <v>0.04</v>
      </c>
      <c r="F22" s="49">
        <v>0</v>
      </c>
      <c r="G22" s="9">
        <v>2</v>
      </c>
      <c r="H22" s="59">
        <v>599.9</v>
      </c>
      <c r="I22" s="48">
        <v>0.11</v>
      </c>
      <c r="J22" s="78" cm="1">
        <f t="array" ref="J22">IF(H22&lt;12.5, H22/2,
IF(H22&lt;29, 6.25,
IF(H22&lt;50, 6.5,
IF(H22&lt;79, 6.75,
VALUE(SUBSTITUTE(
INDEX(RESUMO!$J$2:$J$100, MATCH(1,
(D22&gt;=RESUMO!$H$2:$H$100)*(D22&lt;=RESUMO!$I$2:$I$100)*(H22&gt;=RESUMO!$K$2:$K$100)*(H22&lt;=RESUMO!$L$2:$L$100),
0)), "R$ ", ""))
))))</f>
        <v>73.45</v>
      </c>
      <c r="K22" s="78">
        <v>0</v>
      </c>
      <c r="L22" s="10">
        <f t="shared" si="0"/>
        <v>6.4680780130020763E-3</v>
      </c>
      <c r="M22" s="7">
        <v>639.9</v>
      </c>
      <c r="N22" s="48">
        <v>0.16</v>
      </c>
      <c r="O22" s="78" cm="1">
        <f t="array" ref="O22">IF(M22&lt;12.5, 0,
IF(M22&lt;29, 6.25,
IF(M22&lt;50, 6.5,
IF(M22&lt;79, 6.75,
VALUE(SUBSTITUTE(
INDEX(RESUMO!$J$2:$J$100, MATCH(1,
(D22&gt;=RESUMO!$H$2:$H$100)*(D22&lt;=RESUMO!$I$2:$I$100)*(M22&gt;=RESUMO!$K$2:$K$100)*(M22&lt;=RESUMO!$L$2:$L$100),
0)), "R$ ", ""))
))))</f>
        <v>73.45</v>
      </c>
      <c r="P22" s="9">
        <v>0</v>
      </c>
      <c r="Q22" s="10">
        <f t="shared" si="1"/>
        <v>1.1697452726988536E-2</v>
      </c>
      <c r="R22" s="5">
        <f t="shared" si="2"/>
        <v>442.90019999999993</v>
      </c>
      <c r="S22" s="5">
        <f t="shared" si="3"/>
        <v>3.8801999999999452</v>
      </c>
      <c r="T22" s="5">
        <f t="shared" si="4"/>
        <v>446.50519999999995</v>
      </c>
      <c r="U22" s="5">
        <f t="shared" si="5"/>
        <v>7.4851999999999634</v>
      </c>
    </row>
    <row r="23" spans="1:21" x14ac:dyDescent="0.25">
      <c r="A23" s="11" t="s">
        <v>25</v>
      </c>
      <c r="B23" s="6" t="s">
        <v>78</v>
      </c>
      <c r="C23" s="9">
        <v>1208.1500000000001</v>
      </c>
      <c r="D23" s="6">
        <v>17</v>
      </c>
      <c r="E23" s="8">
        <v>0.04</v>
      </c>
      <c r="F23" s="49">
        <v>0</v>
      </c>
      <c r="G23" s="9">
        <v>0</v>
      </c>
      <c r="H23" s="59">
        <v>1563.08</v>
      </c>
      <c r="I23" s="48">
        <v>0.11</v>
      </c>
      <c r="J23" s="78" cm="1">
        <f t="array" ref="J23">IF(H23&lt;12.5, H23/2,
IF(H23&lt;29, 6.25,
IF(H23&lt;50, 6.5,
IF(H23&lt;79, 6.75,
VALUE(SUBSTITUTE(
INDEX(RESUMO!$J$2:$J$100, MATCH(1,
(D23&gt;=RESUMO!$H$2:$H$100)*(D23&lt;=RESUMO!$I$2:$I$100)*(H23&gt;=RESUMO!$K$2:$K$100)*(H23&lt;=RESUMO!$L$2:$L$100),
0)), "R$ ", ""))
))))</f>
        <v>73.45</v>
      </c>
      <c r="K23" s="78">
        <v>0</v>
      </c>
      <c r="L23" s="10">
        <f t="shared" si="0"/>
        <v>3.9163190623640425E-2</v>
      </c>
      <c r="M23" s="7">
        <v>1660.75</v>
      </c>
      <c r="N23" s="48">
        <v>0.16</v>
      </c>
      <c r="O23" s="78" cm="1">
        <f t="array" ref="O23">IF(M23&lt;12.5, 0,
IF(M23&lt;29, 6.25,
IF(M23&lt;50, 6.5,
IF(M23&lt;79, 6.75,
VALUE(SUBSTITUTE(
INDEX(RESUMO!$J$2:$J$100, MATCH(1,
(D23&gt;=RESUMO!$H$2:$H$100)*(D23&lt;=RESUMO!$I$2:$I$100)*(M23&gt;=RESUMO!$K$2:$K$100)*(M23&lt;=RESUMO!$L$2:$L$100),
0)), "R$ ", ""))
))))</f>
        <v>73.45</v>
      </c>
      <c r="P23" s="9">
        <v>0</v>
      </c>
      <c r="Q23" s="10">
        <f t="shared" si="1"/>
        <v>3.9201565557729828E-2</v>
      </c>
      <c r="R23" s="5">
        <f t="shared" si="2"/>
        <v>1269.3652</v>
      </c>
      <c r="S23" s="5">
        <f t="shared" si="3"/>
        <v>61.215199999999868</v>
      </c>
      <c r="T23" s="5">
        <f t="shared" si="4"/>
        <v>1273.2539999999999</v>
      </c>
      <c r="U23" s="5">
        <f t="shared" si="5"/>
        <v>65.103999999999814</v>
      </c>
    </row>
    <row r="24" spans="1:21" x14ac:dyDescent="0.25">
      <c r="A24" s="11" t="s">
        <v>33</v>
      </c>
      <c r="B24" s="6" t="s">
        <v>79</v>
      </c>
      <c r="C24" s="9">
        <v>1146.72</v>
      </c>
      <c r="D24" s="6">
        <v>13</v>
      </c>
      <c r="E24" s="8">
        <v>0.04</v>
      </c>
      <c r="F24" s="49">
        <v>0</v>
      </c>
      <c r="G24" s="9">
        <v>0</v>
      </c>
      <c r="H24" s="59">
        <v>1307.3699999999999</v>
      </c>
      <c r="I24" s="48">
        <v>0.11</v>
      </c>
      <c r="J24" s="78" cm="1">
        <f t="array" ref="J24">IF(H24&lt;12.5, H24/2,
IF(H24&lt;29, 6.25,
IF(H24&lt;50, 6.5,
IF(H24&lt;79, 6.75,
VALUE(SUBSTITUTE(
INDEX(RESUMO!$J$2:$J$100, MATCH(1,
(D24&gt;=RESUMO!$H$2:$H$100)*(D24&lt;=RESUMO!$I$2:$I$100)*(H24&gt;=RESUMO!$K$2:$K$100)*(H24&lt;=RESUMO!$L$2:$L$100),
0)), "R$ ", ""))
))))</f>
        <v>65.95</v>
      </c>
      <c r="K24" s="78">
        <v>0</v>
      </c>
      <c r="L24" s="10">
        <f t="shared" si="0"/>
        <v>-7.2649288265755035E-2</v>
      </c>
      <c r="M24" s="7">
        <v>1623.8</v>
      </c>
      <c r="N24" s="48">
        <v>0.16</v>
      </c>
      <c r="O24" s="78" cm="1">
        <f t="array" ref="O24">IF(M24&lt;12.5, 0,
IF(M24&lt;29, 6.25,
IF(M24&lt;50, 6.5,
IF(M24&lt;79, 6.75,
VALUE(SUBSTITUTE(
INDEX(RESUMO!$J$2:$J$100, MATCH(1,
(D24&gt;=RESUMO!$H$2:$H$100)*(D24&lt;=RESUMO!$I$2:$I$100)*(M24&gt;=RESUMO!$K$2:$K$100)*(M24&lt;=RESUMO!$L$2:$L$100),
0)), "R$ ", ""))
))))</f>
        <v>65.95</v>
      </c>
      <c r="P24" s="9">
        <v>0</v>
      </c>
      <c r="Q24" s="10">
        <f t="shared" si="1"/>
        <v>6.4942234265303558E-2</v>
      </c>
      <c r="R24" s="5">
        <f t="shared" si="2"/>
        <v>1051.7404999999999</v>
      </c>
      <c r="S24" s="5">
        <f t="shared" si="3"/>
        <v>-94.979500000000144</v>
      </c>
      <c r="T24" s="5">
        <f t="shared" si="4"/>
        <v>1252.1732</v>
      </c>
      <c r="U24" s="5">
        <f t="shared" si="5"/>
        <v>105.45319999999992</v>
      </c>
    </row>
    <row r="25" spans="1:21" x14ac:dyDescent="0.25">
      <c r="A25" s="11" t="s">
        <v>33</v>
      </c>
      <c r="B25" s="6" t="s">
        <v>80</v>
      </c>
      <c r="C25" s="9">
        <v>14845.96</v>
      </c>
      <c r="D25" s="6">
        <v>30</v>
      </c>
      <c r="E25" s="8">
        <v>0.04</v>
      </c>
      <c r="F25" s="49">
        <v>630.27</v>
      </c>
      <c r="G25" s="9">
        <v>0</v>
      </c>
      <c r="H25" s="9">
        <v>17690.2</v>
      </c>
      <c r="I25" s="48">
        <v>0.11</v>
      </c>
      <c r="J25" s="78" cm="1">
        <f t="array" ref="J25">IF(H25&lt;12.5, H25/2,
IF(H25&lt;29, 6.25,
IF(H25&lt;50, 6.5,
IF(H25&lt;79, 6.75,
VALUE(SUBSTITUTE(
INDEX(RESUMO!$J$2:$J$100, MATCH(1,
(D25&gt;=RESUMO!$H$2:$H$100)*(D25&lt;=RESUMO!$I$2:$I$100)*(H25&gt;=RESUMO!$K$2:$K$100)*(H25&lt;=RESUMO!$L$2:$L$100),
0)), "R$ ", ""))
))))</f>
        <v>98.95</v>
      </c>
      <c r="K25" s="78">
        <v>229.98</v>
      </c>
      <c r="L25" s="10">
        <f t="shared" si="0"/>
        <v>6.0246893760387096E-2</v>
      </c>
      <c r="M25" s="7">
        <v>19133.060000000001</v>
      </c>
      <c r="N25" s="48">
        <v>0.16</v>
      </c>
      <c r="O25" s="78" cm="1">
        <f t="array" ref="O25">IF(M25&lt;12.5, 0,
IF(M25&lt;29, 6.25,
IF(M25&lt;50, 6.5,
IF(M25&lt;79, 6.75,
VALUE(SUBSTITUTE(
INDEX(RESUMO!$J$2:$J$100, MATCH(1,
(D25&gt;=RESUMO!$H$2:$H$100)*(D25&lt;=RESUMO!$I$2:$I$100)*(M25&gt;=RESUMO!$K$2:$K$100)*(M25&lt;=RESUMO!$L$2:$L$100),
0)), "R$ ", ""))
))))</f>
        <v>98.95</v>
      </c>
      <c r="P25" s="9">
        <v>230.69</v>
      </c>
      <c r="Q25" s="10">
        <f t="shared" si="1"/>
        <v>7.285724290834826E-2</v>
      </c>
      <c r="R25" s="5">
        <f t="shared" si="2"/>
        <v>15281.469599999999</v>
      </c>
      <c r="S25" s="5">
        <f t="shared" si="3"/>
        <v>1065.7795999999998</v>
      </c>
      <c r="T25" s="5">
        <f t="shared" si="4"/>
        <v>15609.672</v>
      </c>
      <c r="U25" s="5">
        <f t="shared" si="5"/>
        <v>1393.9820000000018</v>
      </c>
    </row>
    <row r="26" spans="1:21" x14ac:dyDescent="0.25">
      <c r="A26" s="11" t="s">
        <v>25</v>
      </c>
      <c r="B26" s="6" t="s">
        <v>81</v>
      </c>
      <c r="C26" s="9">
        <v>1238.8699999999999</v>
      </c>
      <c r="D26" s="6">
        <v>13</v>
      </c>
      <c r="E26" s="8">
        <v>0.04</v>
      </c>
      <c r="F26" s="49">
        <v>0</v>
      </c>
      <c r="G26" s="9">
        <v>0</v>
      </c>
      <c r="H26" s="59">
        <v>1661.55</v>
      </c>
      <c r="I26" s="48">
        <v>0.11</v>
      </c>
      <c r="J26" s="78" t="s">
        <v>788</v>
      </c>
      <c r="K26" s="78">
        <v>0</v>
      </c>
      <c r="L26" s="10" t="e">
        <f t="shared" si="0"/>
        <v>#VALUE!</v>
      </c>
      <c r="M26" s="7">
        <v>1781.25</v>
      </c>
      <c r="N26" s="48">
        <v>0.16</v>
      </c>
      <c r="O26" s="78" cm="1">
        <f t="array" ref="O26">IF(M26&lt;12.5, 0,
IF(M26&lt;29, 6.25,
IF(M26&lt;50, 6.5,
IF(M26&lt;79, 6.75,
VALUE(SUBSTITUTE(
INDEX(RESUMO!$J$2:$J$100, MATCH(1,
(D26&gt;=RESUMO!$H$2:$H$100)*(D26&lt;=RESUMO!$I$2:$I$100)*(M26&gt;=RESUMO!$K$2:$K$100)*(M26&lt;=RESUMO!$L$2:$L$100),
0)), "R$ ", ""))
))))</f>
        <v>65.95</v>
      </c>
      <c r="P26" s="9">
        <v>0</v>
      </c>
      <c r="Q26" s="10">
        <f t="shared" si="1"/>
        <v>7.9649235087719275E-2</v>
      </c>
      <c r="R26" s="5" t="e">
        <f t="shared" si="2"/>
        <v>#VALUE!</v>
      </c>
      <c r="S26" s="5" t="e">
        <f t="shared" si="3"/>
        <v>#VALUE!</v>
      </c>
      <c r="T26" s="5">
        <f t="shared" si="4"/>
        <v>1380.7451999999998</v>
      </c>
      <c r="U26" s="5">
        <f t="shared" si="5"/>
        <v>141.87519999999995</v>
      </c>
    </row>
    <row r="27" spans="1:21" x14ac:dyDescent="0.25">
      <c r="A27" s="11" t="s">
        <v>25</v>
      </c>
      <c r="B27" s="6" t="s">
        <v>82</v>
      </c>
      <c r="C27" s="9">
        <v>1771.27</v>
      </c>
      <c r="D27" s="6">
        <v>23</v>
      </c>
      <c r="E27" s="8">
        <v>0.04</v>
      </c>
      <c r="F27" s="49">
        <v>0</v>
      </c>
      <c r="G27" s="9">
        <v>0</v>
      </c>
      <c r="H27" s="59">
        <v>2067.3000000000002</v>
      </c>
      <c r="I27" s="48">
        <v>0.11</v>
      </c>
      <c r="J27" s="78" cm="1">
        <f t="array" ref="J27">IF(H27&lt;12.5, H27/2,
IF(H27&lt;29, 6.25,
IF(H27&lt;50, 6.5,
IF(H27&lt;79, 6.75,
VALUE(SUBSTITUTE(
INDEX(RESUMO!$J$2:$J$100, MATCH(1,
(D27&gt;=RESUMO!$H$2:$H$100)*(D27&lt;=RESUMO!$I$2:$I$100)*(H27&gt;=RESUMO!$K$2:$K$100)*(H27&lt;=RESUMO!$L$2:$L$100),
0)), "R$ ", ""))
))))</f>
        <v>85.95</v>
      </c>
      <c r="K27" s="78">
        <v>0</v>
      </c>
      <c r="L27" s="10">
        <f t="shared" si="0"/>
        <v>-4.2651671262032502E-2</v>
      </c>
      <c r="M27" s="7">
        <v>2493.14</v>
      </c>
      <c r="N27" s="48">
        <v>0.16</v>
      </c>
      <c r="O27" s="78" cm="1">
        <f t="array" ref="O27">IF(M27&lt;12.5, 0,
IF(M27&lt;29, 6.25,
IF(M27&lt;50, 6.5,
IF(M27&lt;79, 6.75,
VALUE(SUBSTITUTE(
INDEX(RESUMO!$J$2:$J$100, MATCH(1,
(D27&gt;=RESUMO!$H$2:$H$100)*(D27&lt;=RESUMO!$I$2:$I$100)*(M27&gt;=RESUMO!$K$2:$K$100)*(M27&lt;=RESUMO!$L$2:$L$100),
0)), "R$ ", ""))
))))</f>
        <v>85.95</v>
      </c>
      <c r="P27" s="9">
        <v>0</v>
      </c>
      <c r="Q27" s="10">
        <f t="shared" si="1"/>
        <v>6.6649606520291671E-2</v>
      </c>
      <c r="R27" s="5">
        <f t="shared" si="2"/>
        <v>1683.0962000000002</v>
      </c>
      <c r="S27" s="5">
        <f t="shared" si="3"/>
        <v>-88.173799999999801</v>
      </c>
      <c r="T27" s="5">
        <f t="shared" si="4"/>
        <v>1937.4367999999999</v>
      </c>
      <c r="U27" s="5">
        <f t="shared" si="5"/>
        <v>166.16679999999997</v>
      </c>
    </row>
    <row r="28" spans="1:21" x14ac:dyDescent="0.25">
      <c r="A28" s="11" t="s">
        <v>33</v>
      </c>
      <c r="B28" s="6" t="s">
        <v>83</v>
      </c>
      <c r="C28" s="9">
        <v>1238.8699999999999</v>
      </c>
      <c r="D28" s="6">
        <v>13</v>
      </c>
      <c r="E28" s="8">
        <v>0.04</v>
      </c>
      <c r="F28" s="49">
        <v>0</v>
      </c>
      <c r="G28" s="9">
        <v>0</v>
      </c>
      <c r="H28" s="59">
        <v>1443.91</v>
      </c>
      <c r="I28" s="48">
        <v>0.11</v>
      </c>
      <c r="J28" s="78" cm="1">
        <f t="array" ref="J28">IF(H28&lt;12.5, H28/2,
IF(H28&lt;29, 6.25,
IF(H28&lt;50, 6.5,
IF(H28&lt;79, 6.75,
VALUE(SUBSTITUTE(
INDEX(RESUMO!$J$2:$J$100, MATCH(1,
(D28&gt;=RESUMO!$H$2:$H$100)*(D28&lt;=RESUMO!$I$2:$I$100)*(H28&gt;=RESUMO!$K$2:$K$100)*(H28&lt;=RESUMO!$L$2:$L$100),
0)), "R$ ", ""))
))))</f>
        <v>65.95</v>
      </c>
      <c r="K28" s="78">
        <v>0</v>
      </c>
      <c r="L28" s="10">
        <f t="shared" si="0"/>
        <v>-4.7991149032834364E-2</v>
      </c>
      <c r="M28" s="7">
        <v>1642.5</v>
      </c>
      <c r="N28" s="48">
        <v>0.16</v>
      </c>
      <c r="O28" s="78" cm="1">
        <f t="array" ref="O28">IF(M28&lt;12.5, 0,
IF(M28&lt;29, 6.25,
IF(M28&lt;50, 6.5,
IF(M28&lt;79, 6.75,
VALUE(SUBSTITUTE(
INDEX(RESUMO!$J$2:$J$100, MATCH(1,
(D28&gt;=RESUMO!$H$2:$H$100)*(D28&lt;=RESUMO!$I$2:$I$100)*(M28&gt;=RESUMO!$K$2:$K$100)*(M28&lt;=RESUMO!$L$2:$L$100),
0)), "R$ ", ""))
))))</f>
        <v>65.95</v>
      </c>
      <c r="P28" s="9">
        <v>0</v>
      </c>
      <c r="Q28" s="10">
        <f t="shared" si="1"/>
        <v>1.5418691019787045E-2</v>
      </c>
      <c r="R28" s="5">
        <f t="shared" si="2"/>
        <v>1169.5751</v>
      </c>
      <c r="S28" s="5">
        <f t="shared" si="3"/>
        <v>-69.29489999999987</v>
      </c>
      <c r="T28" s="5">
        <f t="shared" si="4"/>
        <v>1264.1952000000001</v>
      </c>
      <c r="U28" s="5">
        <f t="shared" si="5"/>
        <v>25.325200000000223</v>
      </c>
    </row>
    <row r="29" spans="1:21" x14ac:dyDescent="0.25">
      <c r="A29" s="11" t="s">
        <v>33</v>
      </c>
      <c r="B29" s="6" t="s">
        <v>84</v>
      </c>
      <c r="C29" s="9">
        <v>608.23</v>
      </c>
      <c r="D29" s="6">
        <v>17</v>
      </c>
      <c r="E29" s="8">
        <v>0.04</v>
      </c>
      <c r="F29" s="49">
        <v>0</v>
      </c>
      <c r="G29" s="9">
        <v>2</v>
      </c>
      <c r="H29" s="59">
        <v>845.06</v>
      </c>
      <c r="I29" s="48">
        <v>0.11</v>
      </c>
      <c r="J29" s="78" cm="1">
        <f t="array" ref="J29">IF(H29&lt;12.5, H29/2,
IF(H29&lt;29, 6.25,
IF(H29&lt;50, 6.5,
IF(H29&lt;79, 6.75,
VALUE(SUBSTITUTE(
INDEX(RESUMO!$J$2:$J$100, MATCH(1,
(D29&gt;=RESUMO!$H$2:$H$100)*(D29&lt;=RESUMO!$I$2:$I$100)*(H29&gt;=RESUMO!$K$2:$K$100)*(H29&lt;=RESUMO!$L$2:$L$100),
0)), "R$ ", ""))
))))</f>
        <v>73.45</v>
      </c>
      <c r="K29" s="78">
        <v>0</v>
      </c>
      <c r="L29" s="10">
        <f t="shared" si="0"/>
        <v>5.454547606087129E-2</v>
      </c>
      <c r="M29" s="7">
        <v>899.9</v>
      </c>
      <c r="N29" s="48">
        <v>0.16</v>
      </c>
      <c r="O29" s="78" cm="1">
        <f t="array" ref="O29">IF(M29&lt;12.5, 0,
IF(M29&lt;29, 6.25,
IF(M29&lt;50, 6.5,
IF(M29&lt;79, 6.75,
VALUE(SUBSTITUTE(
INDEX(RESUMO!$J$2:$J$100, MATCH(1,
(D29&gt;=RESUMO!$H$2:$H$100)*(D29&lt;=RESUMO!$I$2:$I$100)*(M29&gt;=RESUMO!$K$2:$K$100)*(M29&lt;=RESUMO!$L$2:$L$100),
0)), "R$ ", ""))
))))</f>
        <v>73.45</v>
      </c>
      <c r="P29" s="9">
        <v>0</v>
      </c>
      <c r="Q29" s="10">
        <f t="shared" si="1"/>
        <v>5.5458162018001848E-2</v>
      </c>
      <c r="R29" s="5">
        <f t="shared" si="2"/>
        <v>654.32419999999991</v>
      </c>
      <c r="S29" s="5">
        <f t="shared" si="3"/>
        <v>46.094199999999887</v>
      </c>
      <c r="T29" s="5">
        <f t="shared" si="4"/>
        <v>658.13679999999988</v>
      </c>
      <c r="U29" s="5">
        <f t="shared" si="5"/>
        <v>49.906799999999862</v>
      </c>
    </row>
    <row r="30" spans="1:21" x14ac:dyDescent="0.25">
      <c r="A30" s="11" t="s">
        <v>33</v>
      </c>
      <c r="B30" s="6" t="s">
        <v>85</v>
      </c>
      <c r="C30" s="9">
        <v>613.74</v>
      </c>
      <c r="D30" s="6">
        <v>17</v>
      </c>
      <c r="E30" s="8">
        <v>0.04</v>
      </c>
      <c r="F30" s="49">
        <v>0</v>
      </c>
      <c r="G30" s="9">
        <v>2</v>
      </c>
      <c r="H30" s="59">
        <v>799.9</v>
      </c>
      <c r="I30" s="48">
        <v>0.11</v>
      </c>
      <c r="J30" s="78" cm="1">
        <f t="array" ref="J30">IF(H30&lt;12.5, H30/2,
IF(H30&lt;29, 6.25,
IF(H30&lt;50, 6.5,
IF(H30&lt;79, 6.75,
VALUE(SUBSTITUTE(
INDEX(RESUMO!$J$2:$J$100, MATCH(1,
(D30&gt;=RESUMO!$H$2:$H$100)*(D30&lt;=RESUMO!$I$2:$I$100)*(H30&gt;=RESUMO!$K$2:$K$100)*(H30&lt;=RESUMO!$L$2:$L$100),
0)), "R$ ", ""))
))))</f>
        <v>73.45</v>
      </c>
      <c r="K30" s="78">
        <v>0</v>
      </c>
      <c r="L30" s="10">
        <f t="shared" si="0"/>
        <v>2.1427678459786851E-4</v>
      </c>
      <c r="M30" s="7">
        <v>849</v>
      </c>
      <c r="N30" s="48">
        <v>0.16</v>
      </c>
      <c r="O30" s="78" cm="1">
        <f t="array" ref="O30">IF(M30&lt;12.5, 0,
IF(M30&lt;29, 6.25,
IF(M30&lt;50, 6.5,
IF(M30&lt;79, 6.75,
VALUE(SUBSTITUTE(
INDEX(RESUMO!$J$2:$J$100, MATCH(1,
(D30&gt;=RESUMO!$H$2:$H$100)*(D30&lt;=RESUMO!$I$2:$I$100)*(M30&gt;=RESUMO!$K$2:$K$100)*(M30&lt;=RESUMO!$L$2:$L$100),
0)), "R$ ", ""))
))))</f>
        <v>73.45</v>
      </c>
      <c r="P30" s="9">
        <v>0</v>
      </c>
      <c r="Q30" s="10">
        <f t="shared" si="1"/>
        <v>1.6730270906947686E-3</v>
      </c>
      <c r="R30" s="5">
        <f t="shared" si="2"/>
        <v>613.91139999999984</v>
      </c>
      <c r="S30" s="5">
        <f t="shared" si="3"/>
        <v>0.17139999999983502</v>
      </c>
      <c r="T30" s="5">
        <f t="shared" si="4"/>
        <v>615.16039999999987</v>
      </c>
      <c r="U30" s="5">
        <f t="shared" si="5"/>
        <v>1.4203999999998587</v>
      </c>
    </row>
    <row r="31" spans="1:21" x14ac:dyDescent="0.25">
      <c r="A31" s="11" t="s">
        <v>33</v>
      </c>
      <c r="B31" s="6" t="s">
        <v>86</v>
      </c>
      <c r="C31" s="9">
        <v>1197.9100000000001</v>
      </c>
      <c r="D31" s="6">
        <v>13</v>
      </c>
      <c r="E31" s="8">
        <v>0.04</v>
      </c>
      <c r="F31" s="49">
        <v>0</v>
      </c>
      <c r="G31" s="9">
        <v>0</v>
      </c>
      <c r="H31" s="59">
        <v>1399</v>
      </c>
      <c r="I31" s="48">
        <v>0.11</v>
      </c>
      <c r="J31" s="78" cm="1">
        <f t="array" ref="J31">IF(H31&lt;12.5, H31/2,
IF(H31&lt;29, 6.25,
IF(H31&lt;50, 6.5,
IF(H31&lt;79, 6.75,
VALUE(SUBSTITUTE(
INDEX(RESUMO!$J$2:$J$100, MATCH(1,
(D31&gt;=RESUMO!$H$2:$H$100)*(D31&lt;=RESUMO!$I$2:$I$100)*(H31&gt;=RESUMO!$K$2:$K$100)*(H31&lt;=RESUMO!$L$2:$L$100),
0)), "R$ ", ""))
))))</f>
        <v>65.95</v>
      </c>
      <c r="K31" s="78">
        <v>0</v>
      </c>
      <c r="L31" s="10">
        <f t="shared" si="0"/>
        <v>-4.76528949249466E-2</v>
      </c>
      <c r="M31" s="7">
        <v>1614.15</v>
      </c>
      <c r="N31" s="48">
        <v>0.16</v>
      </c>
      <c r="O31" s="78" cm="1">
        <f t="array" ref="O31">IF(M31&lt;12.5, 0,
IF(M31&lt;29, 6.25,
IF(M31&lt;50, 6.5,
IF(M31&lt;79, 6.75,
VALUE(SUBSTITUTE(
INDEX(RESUMO!$J$2:$J$100, MATCH(1,
(D31&gt;=RESUMO!$H$2:$H$100)*(D31&lt;=RESUMO!$I$2:$I$100)*(M31&gt;=RESUMO!$K$2:$K$100)*(M31&lt;=RESUMO!$L$2:$L$100),
0)), "R$ ", ""))
))))</f>
        <v>65.95</v>
      </c>
      <c r="P31" s="9">
        <v>0</v>
      </c>
      <c r="Q31" s="10">
        <f t="shared" si="1"/>
        <v>2.7326828361676284E-2</v>
      </c>
      <c r="R31" s="5">
        <f t="shared" si="2"/>
        <v>1131.2435999999998</v>
      </c>
      <c r="S31" s="5">
        <f t="shared" si="3"/>
        <v>-66.666400000000294</v>
      </c>
      <c r="T31" s="5">
        <f t="shared" si="4"/>
        <v>1242.0195999999999</v>
      </c>
      <c r="U31" s="5">
        <f t="shared" si="5"/>
        <v>44.109599999999773</v>
      </c>
    </row>
    <row r="32" spans="1:21" x14ac:dyDescent="0.25">
      <c r="A32" s="11" t="s">
        <v>33</v>
      </c>
      <c r="B32" s="6" t="s">
        <v>87</v>
      </c>
      <c r="C32" s="9">
        <v>549.54</v>
      </c>
      <c r="D32" s="6">
        <v>17</v>
      </c>
      <c r="E32" s="8">
        <v>0.04</v>
      </c>
      <c r="F32" s="49">
        <v>0</v>
      </c>
      <c r="G32" s="9">
        <v>2</v>
      </c>
      <c r="H32" s="60">
        <v>729</v>
      </c>
      <c r="I32" s="48">
        <v>0.11</v>
      </c>
      <c r="J32" s="78" cm="1">
        <f t="array" ref="J32">IF(H32&lt;12.5, H32/2,
IF(H32&lt;29, 6.25,
IF(H32&lt;50, 6.5,
IF(H32&lt;79, 6.75,
VALUE(SUBSTITUTE(
INDEX(RESUMO!$J$2:$J$100, MATCH(1,
(D32&gt;=RESUMO!$H$2:$H$100)*(D32&lt;=RESUMO!$I$2:$I$100)*(H32&gt;=RESUMO!$K$2:$K$100)*(H32&lt;=RESUMO!$L$2:$L$100),
0)), "R$ ", ""))
))))</f>
        <v>73.45</v>
      </c>
      <c r="K32" s="78">
        <v>0</v>
      </c>
      <c r="L32" s="10">
        <f t="shared" si="0"/>
        <v>5.2652949245541548E-3</v>
      </c>
      <c r="M32" s="7">
        <v>775</v>
      </c>
      <c r="N32" s="48">
        <v>0.16</v>
      </c>
      <c r="O32" s="78" cm="1">
        <f t="array" ref="O32">IF(M32&lt;12.5, 0,
IF(M32&lt;29, 6.25,
IF(M32&lt;50, 6.5,
IF(M32&lt;79, 6.75,
VALUE(SUBSTITUTE(
INDEX(RESUMO!$J$2:$J$100, MATCH(1,
(D32&gt;=RESUMO!$H$2:$H$100)*(D32&lt;=RESUMO!$I$2:$I$100)*(M32&gt;=RESUMO!$K$2:$K$100)*(M32&lt;=RESUMO!$L$2:$L$100),
0)), "R$ ", ""))
))))</f>
        <v>73.45</v>
      </c>
      <c r="P32" s="9">
        <v>0</v>
      </c>
      <c r="Q32" s="10">
        <f t="shared" si="1"/>
        <v>7.7785806451613334E-3</v>
      </c>
      <c r="R32" s="5">
        <f t="shared" si="2"/>
        <v>553.37839999999994</v>
      </c>
      <c r="S32" s="5">
        <f t="shared" si="3"/>
        <v>3.8383999999999787</v>
      </c>
      <c r="T32" s="5">
        <f t="shared" si="4"/>
        <v>555.5684</v>
      </c>
      <c r="U32" s="5">
        <f t="shared" si="5"/>
        <v>6.0284000000000333</v>
      </c>
    </row>
    <row r="33" spans="1:21" x14ac:dyDescent="0.25">
      <c r="A33" s="11" t="s">
        <v>33</v>
      </c>
      <c r="B33" s="6" t="s">
        <v>88</v>
      </c>
      <c r="C33" s="9">
        <v>439.02</v>
      </c>
      <c r="D33" s="6">
        <v>13</v>
      </c>
      <c r="E33" s="8">
        <v>0.04</v>
      </c>
      <c r="F33" s="49">
        <v>0</v>
      </c>
      <c r="G33" s="9">
        <v>2</v>
      </c>
      <c r="H33" s="9">
        <v>623.5</v>
      </c>
      <c r="I33" s="48">
        <v>0.11</v>
      </c>
      <c r="J33" s="78" cm="1">
        <f t="array" ref="J33">IF(H33&lt;12.5, H33/2,
IF(H33&lt;29, 6.25,
IF(H33&lt;50, 6.5,
IF(H33&lt;79, 6.75,
VALUE(SUBSTITUTE(
INDEX(RESUMO!$J$2:$J$100, MATCH(1,
(D33&gt;=RESUMO!$H$2:$H$100)*(D33&lt;=RESUMO!$I$2:$I$100)*(H33&gt;=RESUMO!$K$2:$K$100)*(H33&lt;=RESUMO!$L$2:$L$100),
0)), "R$ ", ""))
))))</f>
        <v>65.95</v>
      </c>
      <c r="K33" s="78">
        <v>0</v>
      </c>
      <c r="L33" s="10">
        <f t="shared" si="0"/>
        <v>5.1939374498797056E-2</v>
      </c>
      <c r="M33" s="7">
        <v>665</v>
      </c>
      <c r="N33" s="48">
        <v>0.16</v>
      </c>
      <c r="O33" s="78" cm="1">
        <f t="array" ref="O33">IF(M33&lt;12.5, 0,
IF(M33&lt;29, 6.25,
IF(M33&lt;50, 6.5,
IF(M33&lt;79, 6.75,
VALUE(SUBSTITUTE(
INDEX(RESUMO!$J$2:$J$100, MATCH(1,
(D33&gt;=RESUMO!$H$2:$H$100)*(D33&lt;=RESUMO!$I$2:$I$100)*(M33&gt;=RESUMO!$K$2:$K$100)*(M33&lt;=RESUMO!$L$2:$L$100),
0)), "R$ ", ""))
))))</f>
        <v>65.95</v>
      </c>
      <c r="P33" s="9">
        <v>0</v>
      </c>
      <c r="Q33" s="10">
        <f t="shared" si="1"/>
        <v>5.423939849624064E-2</v>
      </c>
      <c r="R33" s="5">
        <f t="shared" si="2"/>
        <v>471.40419999999995</v>
      </c>
      <c r="S33" s="5">
        <f t="shared" si="3"/>
        <v>32.384199999999964</v>
      </c>
      <c r="T33" s="5">
        <f t="shared" si="4"/>
        <v>475.08920000000001</v>
      </c>
      <c r="U33" s="5">
        <f t="shared" si="5"/>
        <v>36.069200000000023</v>
      </c>
    </row>
    <row r="34" spans="1:21" x14ac:dyDescent="0.25">
      <c r="A34" s="11" t="s">
        <v>25</v>
      </c>
      <c r="B34" s="6" t="s">
        <v>89</v>
      </c>
      <c r="C34" s="9">
        <v>439.02</v>
      </c>
      <c r="D34" s="6">
        <v>17</v>
      </c>
      <c r="E34" s="8">
        <v>0.04</v>
      </c>
      <c r="F34" s="49">
        <v>0</v>
      </c>
      <c r="G34" s="9">
        <v>2</v>
      </c>
      <c r="H34" s="9">
        <v>549.9</v>
      </c>
      <c r="I34" s="48">
        <v>0.11</v>
      </c>
      <c r="J34" s="78" cm="1">
        <f t="array" ref="J34">IF(H34&lt;12.5, H34/2,
IF(H34&lt;29, 6.25,
IF(H34&lt;50, 6.5,
IF(H34&lt;79, 6.75,
VALUE(SUBSTITUTE(
INDEX(RESUMO!$J$2:$J$100, MATCH(1,
(D34&gt;=RESUMO!$H$2:$H$100)*(D34&lt;=RESUMO!$I$2:$I$100)*(H34&gt;=RESUMO!$K$2:$K$100)*(H34&lt;=RESUMO!$L$2:$L$100),
0)), "R$ ", ""))
))))</f>
        <v>73.45</v>
      </c>
      <c r="K34" s="78">
        <v>0</v>
      </c>
      <c r="L34" s="10">
        <f t="shared" si="0"/>
        <v>-7.3867612293144105E-2</v>
      </c>
      <c r="M34" s="7">
        <v>599</v>
      </c>
      <c r="N34" s="48">
        <v>0.16</v>
      </c>
      <c r="O34" s="78" cm="1">
        <f t="array" ref="O34">IF(M34&lt;12.5, 0,
IF(M34&lt;29, 6.25,
IF(M34&lt;50, 6.5,
IF(M34&lt;79, 6.75,
VALUE(SUBSTITUTE(
INDEX(RESUMO!$J$2:$J$100, MATCH(1,
(D34&gt;=RESUMO!$H$2:$H$100)*(D34&lt;=RESUMO!$I$2:$I$100)*(M34&gt;=RESUMO!$K$2:$K$100)*(M34&lt;=RESUMO!$L$2:$L$100),
0)), "R$ ", ""))
))))</f>
        <v>73.45</v>
      </c>
      <c r="P34" s="9">
        <v>0</v>
      </c>
      <c r="Q34" s="10">
        <f t="shared" si="1"/>
        <v>-4.4859432387312236E-2</v>
      </c>
      <c r="R34" s="5">
        <f t="shared" si="2"/>
        <v>398.40020000000004</v>
      </c>
      <c r="S34" s="5">
        <f t="shared" si="3"/>
        <v>-40.619799999999941</v>
      </c>
      <c r="T34" s="5">
        <f t="shared" si="4"/>
        <v>412.14919999999995</v>
      </c>
      <c r="U34" s="5">
        <f t="shared" si="5"/>
        <v>-26.870800000000031</v>
      </c>
    </row>
    <row r="35" spans="1:21" x14ac:dyDescent="0.25">
      <c r="A35" s="11" t="s">
        <v>33</v>
      </c>
      <c r="B35" s="61" t="s">
        <v>91</v>
      </c>
      <c r="C35" s="9">
        <v>266.68</v>
      </c>
      <c r="D35" s="6">
        <v>70</v>
      </c>
      <c r="E35" s="8">
        <v>0.04</v>
      </c>
      <c r="F35" s="49">
        <v>0</v>
      </c>
      <c r="G35" s="9">
        <v>0</v>
      </c>
      <c r="H35" s="9">
        <v>483</v>
      </c>
      <c r="I35" s="48">
        <v>0.11</v>
      </c>
      <c r="J35" s="78" cm="1">
        <f t="array" ref="J35">IF(H35&lt;12.5, H35/2,
IF(H35&lt;29, 6.25,
IF(H35&lt;50, 6.5,
IF(H35&lt;79, 6.75,
VALUE(SUBSTITUTE(
INDEX(RESUMO!$J$2:$J$100, MATCH(1,
(D35&gt;=RESUMO!$H$2:$H$100)*(D35&lt;=RESUMO!$I$2:$I$100)*(H35&gt;=RESUMO!$K$2:$K$100)*(H35&lt;=RESUMO!$L$2:$L$100),
0)), "R$ ", ""))
))))</f>
        <v>120.45</v>
      </c>
      <c r="K35" s="78">
        <v>0</v>
      </c>
      <c r="L35" s="10">
        <f t="shared" si="0"/>
        <v>6.640331262939965E-2</v>
      </c>
      <c r="M35" s="7">
        <v>529</v>
      </c>
      <c r="N35" s="48">
        <v>0.16</v>
      </c>
      <c r="O35" s="78" cm="1">
        <f t="array" ref="O35">IF(M35&lt;12.5, 0,
IF(M35&lt;29, 6.25,
IF(M35&lt;50, 6.5,
IF(M35&lt;79, 6.75,
VALUE(SUBSTITUTE(
INDEX(RESUMO!$J$2:$J$100, MATCH(1,
(D35&gt;=RESUMO!$H$2:$H$100)*(D35&lt;=RESUMO!$I$2:$I$100)*(M35&gt;=RESUMO!$K$2:$K$100)*(M35&lt;=RESUMO!$L$2:$L$100),
0)), "R$ ", ""))
))))</f>
        <v>120.45</v>
      </c>
      <c r="P35" s="9">
        <v>0</v>
      </c>
      <c r="Q35" s="10">
        <f t="shared" si="1"/>
        <v>8.8020415879017086E-2</v>
      </c>
      <c r="R35" s="5">
        <f t="shared" si="2"/>
        <v>298.75280000000004</v>
      </c>
      <c r="S35" s="5">
        <f t="shared" si="3"/>
        <v>32.072800000000029</v>
      </c>
      <c r="T35" s="5">
        <f t="shared" si="4"/>
        <v>313.24280000000005</v>
      </c>
      <c r="U35" s="5">
        <f t="shared" si="5"/>
        <v>46.562800000000038</v>
      </c>
    </row>
    <row r="36" spans="1:21" x14ac:dyDescent="0.25">
      <c r="A36" s="11" t="s">
        <v>33</v>
      </c>
      <c r="B36" s="6" t="s">
        <v>92</v>
      </c>
      <c r="C36" s="9">
        <v>822.61</v>
      </c>
      <c r="D36" s="6">
        <v>9</v>
      </c>
      <c r="E36" s="8">
        <v>0.04</v>
      </c>
      <c r="F36" s="49">
        <v>0</v>
      </c>
      <c r="G36" s="9">
        <v>2</v>
      </c>
      <c r="H36" s="9">
        <v>1015</v>
      </c>
      <c r="I36" s="48">
        <v>0.11</v>
      </c>
      <c r="J36" s="78" cm="1">
        <f t="array" ref="J36">IF(H36&lt;12.5, H36/2,
IF(H36&lt;29, 6.25,
IF(H36&lt;50, 6.5,
IF(H36&lt;79, 6.75,
VALUE(SUBSTITUTE(
INDEX(RESUMO!$J$2:$J$100, MATCH(1,
(D36&gt;=RESUMO!$H$2:$H$100)*(D36&lt;=RESUMO!$I$2:$I$100)*(H36&gt;=RESUMO!$K$2:$K$100)*(H36&lt;=RESUMO!$L$2:$L$100),
0)), "R$ ", ""))
))))</f>
        <v>44.45</v>
      </c>
      <c r="K36" s="78">
        <v>0</v>
      </c>
      <c r="L36" s="10">
        <f t="shared" ref="L36:L39" si="6">S36/H36</f>
        <v>3.335566502463009E-3</v>
      </c>
      <c r="M36" s="7">
        <v>1095</v>
      </c>
      <c r="N36" s="48">
        <v>0.17</v>
      </c>
      <c r="O36" s="78" cm="1">
        <f t="array" ref="O36">IF(M36&lt;12.5, 0,
IF(M36&lt;29, 6.25,
IF(M36&lt;50, 6.5,
IF(M36&lt;79, 6.75,
VALUE(SUBSTITUTE(
INDEX(RESUMO!$J$2:$J$100, MATCH(1,
(D36&gt;=RESUMO!$H$2:$H$100)*(D36&lt;=RESUMO!$I$2:$I$100)*(M36&gt;=RESUMO!$K$2:$K$100)*(M36&lt;=RESUMO!$L$2:$L$100),
0)), "R$ ", ""))
))))</f>
        <v>44.45</v>
      </c>
      <c r="P36" s="9">
        <v>0</v>
      </c>
      <c r="Q36" s="10">
        <f t="shared" si="1"/>
        <v>8.1147031963469899E-3</v>
      </c>
      <c r="R36" s="5">
        <f t="shared" si="2"/>
        <v>825.99559999999997</v>
      </c>
      <c r="S36" s="5">
        <f t="shared" si="3"/>
        <v>3.385599999999954</v>
      </c>
      <c r="T36" s="5">
        <f t="shared" si="4"/>
        <v>831.49559999999997</v>
      </c>
      <c r="U36" s="5">
        <f t="shared" si="5"/>
        <v>8.885599999999954</v>
      </c>
    </row>
    <row r="37" spans="1:21" x14ac:dyDescent="0.25">
      <c r="A37" s="11" t="s">
        <v>33</v>
      </c>
      <c r="B37" s="65" t="s">
        <v>93</v>
      </c>
      <c r="C37" s="9">
        <v>591.66999999999996</v>
      </c>
      <c r="D37" s="6">
        <v>70</v>
      </c>
      <c r="E37" s="8">
        <v>0.04</v>
      </c>
      <c r="F37" s="49">
        <v>0</v>
      </c>
      <c r="G37" s="9">
        <v>0</v>
      </c>
      <c r="H37" s="9">
        <v>897.45</v>
      </c>
      <c r="I37" s="48">
        <v>0.11</v>
      </c>
      <c r="J37" s="78" cm="1">
        <f t="array" ref="J37">IF(H37&lt;12.5, H37/2,
IF(H37&lt;29, 6.25,
IF(H37&lt;50, 6.5,
IF(H37&lt;79, 6.75,
VALUE(SUBSTITUTE(
INDEX(RESUMO!$J$2:$J$100, MATCH(1,
(D37&gt;=RESUMO!$H$2:$H$100)*(D37&lt;=RESUMO!$I$2:$I$100)*(H37&gt;=RESUMO!$K$2:$K$100)*(H37&lt;=RESUMO!$L$2:$L$100),
0)), "R$ ", ""))
))))</f>
        <v>120.45</v>
      </c>
      <c r="K37" s="78">
        <v>0</v>
      </c>
      <c r="L37" s="10">
        <f t="shared" si="6"/>
        <v>7.0136163574572433E-2</v>
      </c>
      <c r="M37" s="7">
        <v>1025</v>
      </c>
      <c r="N37" s="48">
        <v>0.16</v>
      </c>
      <c r="O37" s="78" cm="1">
        <f t="array" ref="O37">IF(M37&lt;12.5, 0,
IF(M37&lt;29, 6.25,
IF(M37&lt;50, 6.5,
IF(M37&lt;79, 6.75,
VALUE(SUBSTITUTE(
INDEX(RESUMO!$J$2:$J$100, MATCH(1,
(D37&gt;=RESUMO!$H$2:$H$100)*(D37&lt;=RESUMO!$I$2:$I$100)*(M37&gt;=RESUMO!$K$2:$K$100)*(M37&lt;=RESUMO!$L$2:$L$100),
0)), "R$ ", ""))
))))</f>
        <v>120.45</v>
      </c>
      <c r="P37" s="9">
        <v>0</v>
      </c>
      <c r="Q37" s="10">
        <f t="shared" si="1"/>
        <v>0.12215921951219515</v>
      </c>
      <c r="R37" s="5">
        <f t="shared" si="2"/>
        <v>654.61369999999999</v>
      </c>
      <c r="S37" s="5">
        <f t="shared" si="3"/>
        <v>62.943700000000035</v>
      </c>
      <c r="T37" s="5">
        <f t="shared" si="4"/>
        <v>716.88319999999999</v>
      </c>
      <c r="U37" s="5">
        <f t="shared" si="5"/>
        <v>125.21320000000003</v>
      </c>
    </row>
    <row r="38" spans="1:21" x14ac:dyDescent="0.25">
      <c r="A38" s="11" t="s">
        <v>33</v>
      </c>
      <c r="B38" s="6" t="s">
        <v>94</v>
      </c>
      <c r="C38" s="9">
        <v>1327.28</v>
      </c>
      <c r="D38" s="6">
        <v>40</v>
      </c>
      <c r="E38" s="8">
        <v>0.04</v>
      </c>
      <c r="F38" s="49">
        <v>0</v>
      </c>
      <c r="G38" s="9">
        <v>2</v>
      </c>
      <c r="H38" s="9">
        <v>1685</v>
      </c>
      <c r="I38" s="48">
        <v>0.115</v>
      </c>
      <c r="J38" s="78" cm="1">
        <f t="array" ref="J38">IF(H38&lt;12.5, H38/2,
IF(H38&lt;29, 6.25,
IF(H38&lt;50, 6.5,
IF(H38&lt;79, 6.75,
VALUE(SUBSTITUTE(
INDEX(RESUMO!$J$2:$J$100, MATCH(1,
(D38&gt;=RESUMO!$H$2:$H$100)*(D38&lt;=RESUMO!$I$2:$I$100)*(H38&gt;=RESUMO!$K$2:$K$100)*(H38&lt;=RESUMO!$L$2:$L$100),
0)), "R$ ", ""))
))))</f>
        <v>101.95</v>
      </c>
      <c r="K38" s="78">
        <v>0</v>
      </c>
      <c r="L38" s="10">
        <f t="shared" si="6"/>
        <v>5.2841543026705155E-3</v>
      </c>
      <c r="M38" s="7">
        <v>1785</v>
      </c>
      <c r="N38" s="48">
        <v>0.16500000000000001</v>
      </c>
      <c r="O38" s="78" cm="1">
        <f t="array" ref="O38">IF(M38&lt;12.5, 0,
IF(M38&lt;29, 6.25,
IF(M38&lt;50, 6.5,
IF(M38&lt;79, 6.75,
VALUE(SUBSTITUTE(
INDEX(RESUMO!$J$2:$J$100, MATCH(1,
(D38&gt;=RESUMO!$H$2:$H$100)*(D38&lt;=RESUMO!$I$2:$I$100)*(M38&gt;=RESUMO!$K$2:$K$100)*(M38&lt;=RESUMO!$L$2:$L$100),
0)), "R$ ", ""))
))))</f>
        <v>101.95</v>
      </c>
      <c r="P38" s="9">
        <v>0</v>
      </c>
      <c r="Q38" s="10">
        <f t="shared" si="1"/>
        <v>4.5679551820727278E-3</v>
      </c>
      <c r="R38" s="5">
        <f t="shared" si="2"/>
        <v>1336.1837999999998</v>
      </c>
      <c r="S38" s="5">
        <f t="shared" si="3"/>
        <v>8.9037999999998192</v>
      </c>
      <c r="T38" s="5">
        <f t="shared" si="4"/>
        <v>1335.4337999999998</v>
      </c>
      <c r="U38" s="5">
        <f t="shared" si="5"/>
        <v>8.1537999999998192</v>
      </c>
    </row>
    <row r="39" spans="1:21" x14ac:dyDescent="0.25">
      <c r="A39" s="11" t="s">
        <v>25</v>
      </c>
      <c r="B39" s="6" t="s">
        <v>96</v>
      </c>
      <c r="C39" s="9">
        <v>202.77</v>
      </c>
      <c r="D39" s="6">
        <v>3</v>
      </c>
      <c r="E39" s="8">
        <v>0.04</v>
      </c>
      <c r="F39" s="49">
        <v>0</v>
      </c>
      <c r="G39" s="9">
        <v>2</v>
      </c>
      <c r="H39" s="9">
        <v>239.9</v>
      </c>
      <c r="I39" s="48">
        <v>0.115</v>
      </c>
      <c r="J39" s="78" cm="1">
        <f t="array" ref="J39">IF(H39&lt;12.5, H39/2,
IF(H39&lt;29, 6.25,
IF(H39&lt;50, 6.5,
IF(H39&lt;79, 6.75,
VALUE(SUBSTITUTE(
INDEX(RESUMO!$J$2:$J$100, MATCH(1,
(D39&gt;=RESUMO!$H$2:$H$100)*(D39&lt;=RESUMO!$I$2:$I$100)*(H39&gt;=RESUMO!$K$2:$K$100)*(H39&lt;=RESUMO!$L$2:$L$100),
0)), "R$ ", ""))
))))</f>
        <v>24.95</v>
      </c>
      <c r="K39" s="78">
        <v>0</v>
      </c>
      <c r="L39" s="10">
        <f t="shared" si="6"/>
        <v>-9.8037932471863334E-2</v>
      </c>
      <c r="M39" s="7">
        <v>269</v>
      </c>
      <c r="N39" s="48">
        <v>0.16500000000000001</v>
      </c>
      <c r="O39" s="78" cm="1">
        <f t="array" ref="O39">IF(M39&lt;12.5, 0,
IF(M39&lt;29, 6.25,
IF(M39&lt;50, 6.5,
IF(M39&lt;79, 6.75,
VALUE(SUBSTITUTE(
INDEX(RESUMO!$J$2:$J$100, MATCH(1,
(D39&gt;=RESUMO!$H$2:$H$100)*(D39&lt;=RESUMO!$I$2:$I$100)*(M39&gt;=RESUMO!$K$2:$K$100)*(M39&lt;=RESUMO!$L$2:$L$100),
0)), "R$ ", ""))
))))</f>
        <v>24.95</v>
      </c>
      <c r="P39" s="9">
        <v>0</v>
      </c>
      <c r="Q39" s="10">
        <f t="shared" si="1"/>
        <v>-4.1694423791821568E-2</v>
      </c>
      <c r="R39" s="5">
        <f t="shared" si="2"/>
        <v>179.25069999999999</v>
      </c>
      <c r="S39" s="5">
        <f t="shared" si="3"/>
        <v>-23.519300000000015</v>
      </c>
      <c r="T39" s="5">
        <f t="shared" si="4"/>
        <v>191.55420000000001</v>
      </c>
      <c r="U39" s="5">
        <f t="shared" si="5"/>
        <v>-11.215800000000002</v>
      </c>
    </row>
    <row r="40" spans="1:21" x14ac:dyDescent="0.25">
      <c r="A40" s="11" t="s">
        <v>33</v>
      </c>
      <c r="B40" s="6" t="s">
        <v>97</v>
      </c>
      <c r="C40" s="9">
        <v>399.63</v>
      </c>
      <c r="D40" s="6">
        <v>9</v>
      </c>
      <c r="E40" s="8">
        <v>0.04</v>
      </c>
      <c r="F40" s="49">
        <v>0</v>
      </c>
      <c r="G40" s="9">
        <v>2</v>
      </c>
      <c r="H40" s="9">
        <v>525</v>
      </c>
      <c r="I40" s="48">
        <v>0.115</v>
      </c>
      <c r="J40" s="78" cm="1">
        <f t="array" ref="J40">IF(H40&lt;12.5, H40/2,
IF(H40&lt;29, 6.25,
IF(H40&lt;50, 6.5,
IF(H40&lt;79, 6.75,
VALUE(SUBSTITUTE(
INDEX(RESUMO!$J$2:$J$100, MATCH(1,
(D40&gt;=RESUMO!$H$2:$H$100)*(D40&lt;=RESUMO!$I$2:$I$100)*(H40&gt;=RESUMO!$K$2:$K$100)*(H40&lt;=RESUMO!$L$2:$L$100),
0)), "R$ ", ""))
))))</f>
        <v>44.45</v>
      </c>
      <c r="K40" s="78">
        <v>0</v>
      </c>
      <c r="L40" s="10">
        <f t="shared" ref="L40:L68" si="7">S40/H40</f>
        <v>8.6853333333333244E-3</v>
      </c>
      <c r="M40" s="7">
        <v>555</v>
      </c>
      <c r="N40" s="48">
        <v>0.16500000000000001</v>
      </c>
      <c r="O40" s="78" cm="1">
        <f t="array" ref="O40">IF(M40&lt;12.5, 0,
IF(M40&lt;29, 6.25,
IF(M40&lt;50, 6.5,
IF(M40&lt;79, 6.75,
VALUE(SUBSTITUTE(
INDEX(RESUMO!$J$2:$J$100, MATCH(1,
(D40&gt;=RESUMO!$H$2:$H$100)*(D40&lt;=RESUMO!$I$2:$I$100)*(M40&gt;=RESUMO!$K$2:$K$100)*(M40&lt;=RESUMO!$L$2:$L$100),
0)), "R$ ", ""))
))))</f>
        <v>44.45</v>
      </c>
      <c r="P40" s="9">
        <v>0</v>
      </c>
      <c r="Q40" s="10">
        <f t="shared" si="1"/>
        <v>6.0536936936937064E-3</v>
      </c>
      <c r="R40" s="5">
        <f t="shared" si="2"/>
        <v>404.18979999999999</v>
      </c>
      <c r="S40" s="5">
        <f t="shared" si="3"/>
        <v>4.5597999999999956</v>
      </c>
      <c r="T40" s="5">
        <f t="shared" si="4"/>
        <v>402.9898</v>
      </c>
      <c r="U40" s="5">
        <f t="shared" si="5"/>
        <v>3.359800000000007</v>
      </c>
    </row>
    <row r="41" spans="1:21" x14ac:dyDescent="0.25">
      <c r="A41" s="11" t="s">
        <v>33</v>
      </c>
      <c r="B41" s="6" t="s">
        <v>99</v>
      </c>
      <c r="C41" s="9">
        <v>62.1</v>
      </c>
      <c r="D41" s="6">
        <v>2</v>
      </c>
      <c r="E41" s="8">
        <v>0.04</v>
      </c>
      <c r="F41" s="49">
        <v>0</v>
      </c>
      <c r="G41" s="9">
        <v>2</v>
      </c>
      <c r="H41" s="9">
        <v>88.5</v>
      </c>
      <c r="I41" s="48">
        <v>0.11</v>
      </c>
      <c r="J41" s="78" cm="1">
        <f t="array" ref="J41">IF(H41&lt;12.5, H41/2,
IF(H41&lt;29, 6.25,
IF(H41&lt;50, 6.5,
IF(H41&lt;79, 6.75,
VALUE(SUBSTITUTE(
INDEX(RESUMO!$J$2:$J$100, MATCH(1,
(D41&gt;=RESUMO!$H$2:$H$100)*(D41&lt;=RESUMO!$I$2:$I$100)*(H41&gt;=RESUMO!$K$2:$K$100)*(H41&lt;=RESUMO!$L$2:$L$100),
0)), "R$ ", ""))
))))</f>
        <v>14.07</v>
      </c>
      <c r="K41" s="78">
        <v>0</v>
      </c>
      <c r="L41" s="10">
        <f t="shared" si="7"/>
        <v>1.2542372881354802E-3</v>
      </c>
      <c r="M41" s="7">
        <v>94.5</v>
      </c>
      <c r="N41" s="48">
        <v>0.16</v>
      </c>
      <c r="O41" s="78" cm="1">
        <f t="array" ref="O41">IF(M41&lt;12.5, 0,
IF(M41&lt;29, 6.25,
IF(M41&lt;50, 6.5,
IF(M41&lt;79, 6.75,
VALUE(SUBSTITUTE(
INDEX(RESUMO!$J$2:$J$100, MATCH(1,
(D41&gt;=RESUMO!$H$2:$H$100)*(D41&lt;=RESUMO!$I$2:$I$100)*(M41&gt;=RESUMO!$K$2:$K$100)*(M41&lt;=RESUMO!$L$2:$L$100),
0)), "R$ ", ""))
))))</f>
        <v>14.07</v>
      </c>
      <c r="P41" s="9">
        <v>0</v>
      </c>
      <c r="Q41" s="10">
        <f t="shared" si="1"/>
        <v>7.6825396825396727E-3</v>
      </c>
      <c r="R41" s="5">
        <f t="shared" si="2"/>
        <v>62.210999999999991</v>
      </c>
      <c r="S41" s="5">
        <f t="shared" si="3"/>
        <v>0.11099999999999</v>
      </c>
      <c r="T41" s="5">
        <f t="shared" si="4"/>
        <v>62.826000000000001</v>
      </c>
      <c r="U41" s="5">
        <f t="shared" si="5"/>
        <v>0.72599999999999909</v>
      </c>
    </row>
    <row r="42" spans="1:21" x14ac:dyDescent="0.25">
      <c r="A42" s="11" t="s">
        <v>36</v>
      </c>
      <c r="B42" s="6" t="s">
        <v>100</v>
      </c>
      <c r="C42" s="9">
        <v>1220</v>
      </c>
      <c r="D42" s="6">
        <v>1</v>
      </c>
      <c r="E42" s="8">
        <v>0.04</v>
      </c>
      <c r="F42" s="49">
        <v>0</v>
      </c>
      <c r="G42" s="9">
        <v>2</v>
      </c>
      <c r="H42" s="9">
        <v>1455</v>
      </c>
      <c r="I42" s="48">
        <v>0.11</v>
      </c>
      <c r="J42" s="78" cm="1">
        <f t="array" ref="J42">IF(H42&lt;12.5, H42/2,
IF(H42&lt;29, 6.25,
IF(H42&lt;50, 6.5,
IF(H42&lt;79, 6.75,
VALUE(SUBSTITUTE(
INDEX(RESUMO!$J$2:$J$100, MATCH(1,
(D42&gt;=RESUMO!$H$2:$H$100)*(D42&lt;=RESUMO!$I$2:$I$100)*(H42&gt;=RESUMO!$K$2:$K$100)*(H42&lt;=RESUMO!$L$2:$L$100),
0)), "R$ ", ""))
))))</f>
        <v>22.45</v>
      </c>
      <c r="K42" s="78">
        <v>0</v>
      </c>
      <c r="L42" s="10">
        <f t="shared" si="7"/>
        <v>2.5429553264605122E-3</v>
      </c>
      <c r="M42" s="7">
        <v>1549</v>
      </c>
      <c r="N42" s="48">
        <v>0.16</v>
      </c>
      <c r="O42" s="78" cm="1">
        <f t="array" ref="O42">IF(M42&lt;12.5, 0,
IF(M42&lt;29, 6.25,
IF(M42&lt;50, 6.5,
IF(M42&lt;79, 6.75,
VALUE(SUBSTITUTE(
INDEX(RESUMO!$J$2:$J$100, MATCH(1,
(D42&gt;=RESUMO!$H$2:$H$100)*(D42&lt;=RESUMO!$I$2:$I$100)*(M42&gt;=RESUMO!$K$2:$K$100)*(M42&lt;=RESUMO!$L$2:$L$100),
0)), "R$ ", ""))
))))</f>
        <v>22.45</v>
      </c>
      <c r="P42" s="9">
        <v>0</v>
      </c>
      <c r="Q42" s="10">
        <f t="shared" si="1"/>
        <v>6.3976759199484068E-3</v>
      </c>
      <c r="R42" s="5">
        <f t="shared" si="2"/>
        <v>1223.7</v>
      </c>
      <c r="S42" s="5">
        <f t="shared" si="3"/>
        <v>3.7000000000000455</v>
      </c>
      <c r="T42" s="5">
        <f t="shared" si="4"/>
        <v>1229.9100000000001</v>
      </c>
      <c r="U42" s="5">
        <f t="shared" si="5"/>
        <v>9.9100000000000819</v>
      </c>
    </row>
    <row r="43" spans="1:21" x14ac:dyDescent="0.25">
      <c r="A43" s="11" t="s">
        <v>36</v>
      </c>
      <c r="B43" s="6" t="s">
        <v>101</v>
      </c>
      <c r="C43" s="9">
        <v>3400</v>
      </c>
      <c r="D43" s="6">
        <v>2</v>
      </c>
      <c r="E43" s="8">
        <v>0.04</v>
      </c>
      <c r="F43" s="49">
        <v>0</v>
      </c>
      <c r="G43" s="9">
        <v>2</v>
      </c>
      <c r="H43" s="9">
        <v>3999</v>
      </c>
      <c r="I43" s="48">
        <v>0.11</v>
      </c>
      <c r="J43" s="78" cm="1">
        <f t="array" ref="J43">IF(H43&lt;12.5, H43/2,
IF(H43&lt;29, 6.25,
IF(H43&lt;50, 6.5,
IF(H43&lt;79, 6.75,
VALUE(SUBSTITUTE(
INDEX(RESUMO!$J$2:$J$100, MATCH(1,
(D43&gt;=RESUMO!$H$2:$H$100)*(D43&lt;=RESUMO!$I$2:$I$100)*(H43&gt;=RESUMO!$K$2:$K$100)*(H43&lt;=RESUMO!$L$2:$L$100),
0)), "R$ ", ""))
))))</f>
        <v>23.45</v>
      </c>
      <c r="K43" s="78">
        <v>0</v>
      </c>
      <c r="L43" s="10">
        <f t="shared" si="7"/>
        <v>-8.5021255313751136E-5</v>
      </c>
      <c r="M43" s="7">
        <v>4249</v>
      </c>
      <c r="N43" s="48">
        <v>0.16</v>
      </c>
      <c r="O43" s="78" cm="1">
        <f t="array" ref="O43">IF(M43&lt;12.5, 0,
IF(M43&lt;29, 6.25,
IF(M43&lt;50, 6.5,
IF(M43&lt;79, 6.75,
VALUE(SUBSTITUTE(
INDEX(RESUMO!$J$2:$J$100, MATCH(1,
(D43&gt;=RESUMO!$H$2:$H$100)*(D43&lt;=RESUMO!$I$2:$I$100)*(M43&gt;=RESUMO!$K$2:$K$100)*(M43&lt;=RESUMO!$L$2:$L$100),
0)), "R$ ", ""))
))))</f>
        <v>23.45</v>
      </c>
      <c r="P43" s="9">
        <v>0</v>
      </c>
      <c r="Q43" s="10">
        <f t="shared" si="1"/>
        <v>2.2852435867262971E-3</v>
      </c>
      <c r="R43" s="5">
        <f t="shared" si="2"/>
        <v>3399.6600000000003</v>
      </c>
      <c r="S43" s="5">
        <f t="shared" si="3"/>
        <v>-0.33999999999969077</v>
      </c>
      <c r="T43" s="5">
        <f t="shared" si="4"/>
        <v>3409.71</v>
      </c>
      <c r="U43" s="5">
        <f t="shared" si="5"/>
        <v>9.7100000000000364</v>
      </c>
    </row>
    <row r="44" spans="1:21" x14ac:dyDescent="0.25">
      <c r="A44" s="11" t="s">
        <v>36</v>
      </c>
      <c r="B44" s="6" t="s">
        <v>102</v>
      </c>
      <c r="C44" s="9">
        <v>3150</v>
      </c>
      <c r="D44" s="6">
        <v>1</v>
      </c>
      <c r="E44" s="8">
        <v>0.04</v>
      </c>
      <c r="F44" s="49">
        <v>0</v>
      </c>
      <c r="G44" s="9">
        <v>2</v>
      </c>
      <c r="H44" s="9">
        <v>3710</v>
      </c>
      <c r="I44" s="48">
        <v>0.11</v>
      </c>
      <c r="J44" s="78" cm="1">
        <f t="array" ref="J44">IF(H44&lt;12.5, H44/2,
IF(H44&lt;29, 6.25,
IF(H44&lt;50, 6.5,
IF(H44&lt;79, 6.75,
VALUE(SUBSTITUTE(
INDEX(RESUMO!$J$2:$J$100, MATCH(1,
(D44&gt;=RESUMO!$H$2:$H$100)*(D44&lt;=RESUMO!$I$2:$I$100)*(H44&gt;=RESUMO!$K$2:$K$100)*(H44&lt;=RESUMO!$L$2:$L$100),
0)), "R$ ", ""))
))))</f>
        <v>22.45</v>
      </c>
      <c r="K44" s="78">
        <v>0</v>
      </c>
      <c r="L44" s="10">
        <f t="shared" si="7"/>
        <v>9.2991913746638081E-4</v>
      </c>
      <c r="M44" s="7">
        <v>3949</v>
      </c>
      <c r="N44" s="48">
        <v>0.16</v>
      </c>
      <c r="O44" s="78" cm="1">
        <f t="array" ref="O44">IF(M44&lt;12.5, 0,
IF(M44&lt;29, 6.25,
IF(M44&lt;50, 6.5,
IF(M44&lt;79, 6.75,
VALUE(SUBSTITUTE(
INDEX(RESUMO!$J$2:$J$100, MATCH(1,
(D44&gt;=RESUMO!$H$2:$H$100)*(D44&lt;=RESUMO!$I$2:$I$100)*(M44&gt;=RESUMO!$K$2:$K$100)*(M44&lt;=RESUMO!$L$2:$L$100),
0)), "R$ ", ""))
))))</f>
        <v>22.45</v>
      </c>
      <c r="P44" s="9">
        <v>0</v>
      </c>
      <c r="Q44" s="10">
        <f t="shared" si="1"/>
        <v>4.7379083312231035E-3</v>
      </c>
      <c r="R44" s="5">
        <f t="shared" si="2"/>
        <v>3153.4500000000003</v>
      </c>
      <c r="S44" s="5">
        <f t="shared" si="3"/>
        <v>3.4500000000002728</v>
      </c>
      <c r="T44" s="5">
        <f t="shared" si="4"/>
        <v>3168.71</v>
      </c>
      <c r="U44" s="5">
        <f t="shared" si="5"/>
        <v>18.710000000000036</v>
      </c>
    </row>
    <row r="45" spans="1:21" x14ac:dyDescent="0.25">
      <c r="A45" s="11" t="s">
        <v>36</v>
      </c>
      <c r="B45" s="6" t="s">
        <v>103</v>
      </c>
      <c r="C45" s="9">
        <v>4000</v>
      </c>
      <c r="D45" s="6">
        <v>1</v>
      </c>
      <c r="E45" s="8">
        <v>0.04</v>
      </c>
      <c r="F45" s="49">
        <v>0</v>
      </c>
      <c r="G45" s="9">
        <v>2</v>
      </c>
      <c r="H45" s="9">
        <v>4699</v>
      </c>
      <c r="I45" s="48">
        <v>0.11</v>
      </c>
      <c r="J45" s="78" cm="1">
        <f t="array" ref="J45">IF(H45&lt;12.5, H45/2,
IF(H45&lt;29, 6.25,
IF(H45&lt;50, 6.5,
IF(H45&lt;79, 6.75,
VALUE(SUBSTITUTE(
INDEX(RESUMO!$J$2:$J$100, MATCH(1,
(D45&gt;=RESUMO!$H$2:$H$100)*(D45&lt;=RESUMO!$I$2:$I$100)*(H45&gt;=RESUMO!$K$2:$K$100)*(H45&lt;=RESUMO!$L$2:$L$100),
0)), "R$ ", ""))
))))</f>
        <v>22.45</v>
      </c>
      <c r="K45" s="78">
        <v>0</v>
      </c>
      <c r="L45" s="10">
        <f>S45/H45</f>
        <v>-7.2355820387347419E-5</v>
      </c>
      <c r="M45" s="7">
        <v>4999</v>
      </c>
      <c r="N45" s="48">
        <v>0.16</v>
      </c>
      <c r="O45" s="78" cm="1">
        <f t="array" ref="O45">IF(M45&lt;12.5, 0,
IF(M45&lt;29, 6.25,
IF(M45&lt;50, 6.5,
IF(M45&lt;79, 6.75,
VALUE(SUBSTITUTE(
INDEX(RESUMO!$J$2:$J$100, MATCH(1,
(D45&gt;=RESUMO!$H$2:$H$100)*(D45&lt;=RESUMO!$I$2:$I$100)*(M45&gt;=RESUMO!$K$2:$K$100)*(M45&lt;=RESUMO!$L$2:$L$100),
0)), "R$ ", ""))
))))</f>
        <v>22.45</v>
      </c>
      <c r="P45" s="9">
        <v>0</v>
      </c>
      <c r="Q45" s="10">
        <f t="shared" si="1"/>
        <v>3.3426685337067485E-3</v>
      </c>
      <c r="R45" s="5">
        <f t="shared" si="2"/>
        <v>3999.66</v>
      </c>
      <c r="S45" s="5">
        <f t="shared" si="3"/>
        <v>-0.34000000000014552</v>
      </c>
      <c r="T45" s="5">
        <f t="shared" si="4"/>
        <v>4016.71</v>
      </c>
      <c r="U45" s="5">
        <f t="shared" si="5"/>
        <v>16.710000000000036</v>
      </c>
    </row>
    <row r="46" spans="1:21" x14ac:dyDescent="0.25">
      <c r="A46" s="11" t="s">
        <v>33</v>
      </c>
      <c r="B46" s="6" t="s">
        <v>104</v>
      </c>
      <c r="C46" s="9">
        <v>97.51</v>
      </c>
      <c r="D46" s="6">
        <v>4</v>
      </c>
      <c r="E46" s="8">
        <v>0.04</v>
      </c>
      <c r="F46" s="49">
        <v>0</v>
      </c>
      <c r="G46" s="9">
        <v>2</v>
      </c>
      <c r="H46" s="9">
        <v>139</v>
      </c>
      <c r="I46" s="48">
        <v>0.11</v>
      </c>
      <c r="J46" s="78" cm="1">
        <f t="array" ref="J46">IF(H46&lt;12.5, H46/2,
IF(H46&lt;29, 6.25,
IF(H46&lt;50, 6.5,
IF(H46&lt;79, 6.75,
VALUE(SUBSTITUTE(
INDEX(RESUMO!$J$2:$J$100, MATCH(1,
(D46&gt;=RESUMO!$H$2:$H$100)*(D46&lt;=RESUMO!$I$2:$I$100)*(H46&gt;=RESUMO!$K$2:$K$100)*(H46&lt;=RESUMO!$L$2:$L$100),
0)), "R$ ", ""))
))))</f>
        <v>21.56</v>
      </c>
      <c r="K46" s="78">
        <v>0</v>
      </c>
      <c r="L46" s="10">
        <f>S46/H46</f>
        <v>5.3208633093523861E-3</v>
      </c>
      <c r="M46" s="7">
        <v>147</v>
      </c>
      <c r="N46" s="48">
        <v>0.16</v>
      </c>
      <c r="O46" s="78" cm="1">
        <f t="array" ref="O46">IF(M46&lt;12.5, 0,
IF(M46&lt;29, 6.25,
IF(M46&lt;50, 6.5,
IF(M46&lt;79, 6.75,
VALUE(SUBSTITUTE(
INDEX(RESUMO!$J$2:$J$100, MATCH(1,
(D46&gt;=RESUMO!$H$2:$H$100)*(D46&lt;=RESUMO!$I$2:$I$100)*(M46&gt;=RESUMO!$K$2:$K$100)*(M46&lt;=RESUMO!$L$2:$L$100),
0)), "R$ ", ""))
))))</f>
        <v>21.56</v>
      </c>
      <c r="P46" s="9">
        <v>0</v>
      </c>
      <c r="Q46" s="10">
        <f t="shared" si="1"/>
        <v>3.466666666666611E-3</v>
      </c>
      <c r="R46" s="5">
        <f t="shared" si="2"/>
        <v>98.249599999999987</v>
      </c>
      <c r="S46" s="5">
        <f t="shared" si="3"/>
        <v>0.73959999999998161</v>
      </c>
      <c r="T46" s="5">
        <f t="shared" si="4"/>
        <v>98.019599999999997</v>
      </c>
      <c r="U46" s="5">
        <f t="shared" si="5"/>
        <v>0.50959999999999184</v>
      </c>
    </row>
    <row r="47" spans="1:21" x14ac:dyDescent="0.25">
      <c r="A47" s="11" t="s">
        <v>33</v>
      </c>
      <c r="B47" s="6" t="s">
        <v>105</v>
      </c>
      <c r="C47" s="9">
        <v>97.51</v>
      </c>
      <c r="D47" s="6">
        <v>4</v>
      </c>
      <c r="E47" s="8">
        <v>0.04</v>
      </c>
      <c r="F47" s="49">
        <v>0</v>
      </c>
      <c r="G47" s="9">
        <v>2</v>
      </c>
      <c r="H47" s="9">
        <v>139</v>
      </c>
      <c r="I47" s="48">
        <v>0.11</v>
      </c>
      <c r="J47" s="78" cm="1">
        <f t="array" ref="J47">IF(H47&lt;12.5, H47/2,
IF(H47&lt;29, 6.25,
IF(H47&lt;50, 6.5,
IF(H47&lt;79, 6.75,
VALUE(SUBSTITUTE(
INDEX(RESUMO!$J$2:$J$100, MATCH(1,
(D47&gt;=RESUMO!$H$2:$H$100)*(D47&lt;=RESUMO!$I$2:$I$100)*(H47&gt;=RESUMO!$K$2:$K$100)*(H47&lt;=RESUMO!$L$2:$L$100),
0)), "R$ ", ""))
))))</f>
        <v>21.56</v>
      </c>
      <c r="K47" s="78">
        <v>0</v>
      </c>
      <c r="L47" s="10">
        <f t="shared" si="7"/>
        <v>5.3208633093523861E-3</v>
      </c>
      <c r="M47" s="7">
        <v>165.17</v>
      </c>
      <c r="N47" s="48">
        <v>0.16</v>
      </c>
      <c r="O47" s="78" cm="1">
        <f t="array" ref="O47">IF(M47&lt;12.5, 0,
IF(M47&lt;29, 6.25,
IF(M47&lt;50, 6.5,
IF(M47&lt;79, 6.75,
VALUE(SUBSTITUTE(
INDEX(RESUMO!$J$2:$J$100, MATCH(1,
(D47&gt;=RESUMO!$H$2:$H$100)*(D47&lt;=RESUMO!$I$2:$I$100)*(M47&gt;=RESUMO!$K$2:$K$100)*(M47&lt;=RESUMO!$L$2:$L$100),
0)), "R$ ", ""))
))))</f>
        <v>24.25</v>
      </c>
      <c r="P47" s="9">
        <v>0</v>
      </c>
      <c r="Q47" s="10">
        <f t="shared" si="1"/>
        <v>7.9205666888660042E-2</v>
      </c>
      <c r="R47" s="5">
        <f t="shared" si="2"/>
        <v>98.249599999999987</v>
      </c>
      <c r="S47" s="5">
        <f t="shared" si="3"/>
        <v>0.73959999999998161</v>
      </c>
      <c r="T47" s="5">
        <f t="shared" si="4"/>
        <v>110.59239999999998</v>
      </c>
      <c r="U47" s="5">
        <f t="shared" si="5"/>
        <v>13.082399999999978</v>
      </c>
    </row>
    <row r="48" spans="1:21" x14ac:dyDescent="0.25">
      <c r="A48" s="11" t="s">
        <v>18</v>
      </c>
      <c r="B48" s="6" t="s">
        <v>106</v>
      </c>
      <c r="C48" s="9">
        <v>526.28</v>
      </c>
      <c r="D48" s="6">
        <v>23</v>
      </c>
      <c r="E48" s="8">
        <v>0.04</v>
      </c>
      <c r="F48" s="49">
        <v>0</v>
      </c>
      <c r="G48" s="9">
        <v>2</v>
      </c>
      <c r="H48" s="9">
        <v>729.9</v>
      </c>
      <c r="I48" s="48">
        <v>0.12</v>
      </c>
      <c r="J48" s="78" cm="1">
        <f t="array" ref="J48">IF(H48&lt;12.5, H48/2,
IF(H48&lt;29, 6.25,
IF(H48&lt;50, 6.5,
IF(H48&lt;79, 6.75,
VALUE(SUBSTITUTE(
INDEX(RESUMO!$J$2:$J$100, MATCH(1,
(D48&gt;=RESUMO!$H$2:$H$100)*(D48&lt;=RESUMO!$I$2:$I$100)*(H48&gt;=RESUMO!$K$2:$K$100)*(H48&lt;=RESUMO!$L$2:$L$100),
0)), "R$ ", ""))
))))</f>
        <v>85.95</v>
      </c>
      <c r="K48" s="78">
        <v>0</v>
      </c>
      <c r="L48" s="10">
        <f t="shared" si="7"/>
        <v>1.2372653788190163E-2</v>
      </c>
      <c r="M48" s="7">
        <v>751.65</v>
      </c>
      <c r="N48" s="48">
        <v>0.17</v>
      </c>
      <c r="O48" s="78" cm="1">
        <f t="array" ref="O48">IF(M48&lt;12.5, 0,
IF(M48&lt;29, 6.25,
IF(M48&lt;50, 6.5,
IF(M48&lt;79, 6.75,
VALUE(SUBSTITUTE(
INDEX(RESUMO!$J$2:$J$100, MATCH(1,
(D48&gt;=RESUMO!$H$2:$H$100)*(D48&lt;=RESUMO!$I$2:$I$100)*(M48&gt;=RESUMO!$K$2:$K$100)*(M48&lt;=RESUMO!$L$2:$L$100),
0)), "R$ ", ""))
))))</f>
        <v>85.95</v>
      </c>
      <c r="P48" s="9">
        <v>2.3199999999999998</v>
      </c>
      <c r="Q48" s="10">
        <f t="shared" si="1"/>
        <v>-9.4348433446417163E-3</v>
      </c>
      <c r="R48" s="5">
        <f t="shared" si="2"/>
        <v>535.31079999999997</v>
      </c>
      <c r="S48" s="5">
        <f t="shared" si="3"/>
        <v>9.0307999999999993</v>
      </c>
      <c r="T48" s="5">
        <f t="shared" si="4"/>
        <v>519.18830000000003</v>
      </c>
      <c r="U48" s="5">
        <f t="shared" si="5"/>
        <v>-7.0916999999999462</v>
      </c>
    </row>
    <row r="49" spans="1:21" x14ac:dyDescent="0.25">
      <c r="A49" s="11" t="s">
        <v>18</v>
      </c>
      <c r="B49" s="6" t="s">
        <v>107</v>
      </c>
      <c r="C49" s="9">
        <v>526.28</v>
      </c>
      <c r="D49" s="6">
        <v>23</v>
      </c>
      <c r="E49" s="8">
        <v>0.04</v>
      </c>
      <c r="F49" s="49">
        <v>0</v>
      </c>
      <c r="G49" s="9">
        <v>2</v>
      </c>
      <c r="H49" s="9">
        <v>729.9</v>
      </c>
      <c r="I49" s="48">
        <v>0.12</v>
      </c>
      <c r="J49" s="78" cm="1">
        <f t="array" ref="J49">IF(H49&lt;12.5, H49/2,
IF(H49&lt;29, 6.25,
IF(H49&lt;50, 6.5,
IF(H49&lt;79, 6.75,
VALUE(SUBSTITUTE(
INDEX(RESUMO!$J$2:$J$100, MATCH(1,
(D49&gt;=RESUMO!$H$2:$H$100)*(D49&lt;=RESUMO!$I$2:$I$100)*(H49&gt;=RESUMO!$K$2:$K$100)*(H49&lt;=RESUMO!$L$2:$L$100),
0)), "R$ ", ""))
))))</f>
        <v>85.95</v>
      </c>
      <c r="K49" s="78">
        <v>0</v>
      </c>
      <c r="L49" s="10">
        <f t="shared" si="7"/>
        <v>1.2372653788190163E-2</v>
      </c>
      <c r="M49" s="7">
        <v>815</v>
      </c>
      <c r="N49" s="48">
        <v>0.17</v>
      </c>
      <c r="O49" s="78" cm="1">
        <f t="array" ref="O49">IF(M49&lt;12.5, 0,
IF(M49&lt;29, 6.25,
IF(M49&lt;50, 6.5,
IF(M49&lt;79, 6.75,
VALUE(SUBSTITUTE(
INDEX(RESUMO!$J$2:$J$100, MATCH(1,
(D49&gt;=RESUMO!$H$2:$H$100)*(D49&lt;=RESUMO!$I$2:$I$100)*(M49&gt;=RESUMO!$K$2:$K$100)*(M49&lt;=RESUMO!$L$2:$L$100),
0)), "R$ ", ""))
))))</f>
        <v>85.95</v>
      </c>
      <c r="P49" s="9">
        <v>0</v>
      </c>
      <c r="Q49" s="10">
        <f t="shared" si="1"/>
        <v>5.2967852760736234E-2</v>
      </c>
      <c r="R49" s="5">
        <f t="shared" si="2"/>
        <v>535.31079999999997</v>
      </c>
      <c r="S49" s="5">
        <f t="shared" si="3"/>
        <v>9.0307999999999993</v>
      </c>
      <c r="T49" s="5">
        <f t="shared" si="4"/>
        <v>569.44880000000001</v>
      </c>
      <c r="U49" s="5">
        <f t="shared" si="5"/>
        <v>43.168800000000033</v>
      </c>
    </row>
    <row r="50" spans="1:21" x14ac:dyDescent="0.25">
      <c r="A50" s="11" t="s">
        <v>18</v>
      </c>
      <c r="B50" s="6" t="s">
        <v>108</v>
      </c>
      <c r="C50" s="9">
        <v>526.28</v>
      </c>
      <c r="D50" s="6">
        <v>23</v>
      </c>
      <c r="E50" s="8">
        <v>0.04</v>
      </c>
      <c r="F50" s="49">
        <v>0</v>
      </c>
      <c r="G50" s="9">
        <v>2</v>
      </c>
      <c r="H50" s="9">
        <v>729.9</v>
      </c>
      <c r="I50" s="48">
        <v>0.12</v>
      </c>
      <c r="J50" s="78" cm="1">
        <f t="array" ref="J50">IF(H50&lt;12.5, H50/2,
IF(H50&lt;29, 6.25,
IF(H50&lt;50, 6.5,
IF(H50&lt;79, 6.75,
VALUE(SUBSTITUTE(
INDEX(RESUMO!$J$2:$J$100, MATCH(1,
(D50&gt;=RESUMO!$H$2:$H$100)*(D50&lt;=RESUMO!$I$2:$I$100)*(H50&gt;=RESUMO!$K$2:$K$100)*(H50&lt;=RESUMO!$L$2:$L$100),
0)), "R$ ", ""))
))))</f>
        <v>85.95</v>
      </c>
      <c r="K50" s="78">
        <v>0</v>
      </c>
      <c r="L50" s="10">
        <f t="shared" si="7"/>
        <v>1.2372653788190163E-2</v>
      </c>
      <c r="M50" s="7">
        <v>775</v>
      </c>
      <c r="N50" s="48">
        <v>0.17</v>
      </c>
      <c r="O50" s="78" cm="1">
        <f t="array" ref="O50">IF(M50&lt;12.5, 0,
IF(M50&lt;29, 6.25,
IF(M50&lt;50, 6.5,
IF(M50&lt;79, 6.75,
VALUE(SUBSTITUTE(
INDEX(RESUMO!$J$2:$J$100, MATCH(1,
(D50&gt;=RESUMO!$H$2:$H$100)*(D50&lt;=RESUMO!$I$2:$I$100)*(M50&gt;=RESUMO!$K$2:$K$100)*(M50&lt;=RESUMO!$L$2:$L$100),
0)), "R$ ", ""))
))))</f>
        <v>85.95</v>
      </c>
      <c r="P50" s="9">
        <v>0</v>
      </c>
      <c r="Q50" s="10">
        <f t="shared" si="1"/>
        <v>1.2862967741935467E-2</v>
      </c>
      <c r="R50" s="5">
        <f t="shared" si="2"/>
        <v>535.31079999999997</v>
      </c>
      <c r="S50" s="5">
        <f t="shared" si="3"/>
        <v>9.0307999999999993</v>
      </c>
      <c r="T50" s="5">
        <f t="shared" si="4"/>
        <v>536.24879999999996</v>
      </c>
      <c r="U50" s="5">
        <f t="shared" si="5"/>
        <v>9.9687999999999874</v>
      </c>
    </row>
    <row r="51" spans="1:21" x14ac:dyDescent="0.25">
      <c r="A51" s="11" t="s">
        <v>20</v>
      </c>
      <c r="B51" s="6" t="s">
        <v>109</v>
      </c>
      <c r="C51" s="9">
        <v>275.44</v>
      </c>
      <c r="D51" s="6">
        <v>30</v>
      </c>
      <c r="E51" s="8">
        <v>0.04</v>
      </c>
      <c r="F51" s="49">
        <v>0</v>
      </c>
      <c r="G51" s="9">
        <v>2</v>
      </c>
      <c r="H51" s="9">
        <v>439.9</v>
      </c>
      <c r="I51" s="48">
        <v>0.12</v>
      </c>
      <c r="J51" s="78" cm="1">
        <f t="array" ref="J51">IF(H51&lt;12.5, H51/2,
IF(H51&lt;29, 6.25,
IF(H51&lt;50, 6.5,
IF(H51&lt;79, 6.75,
VALUE(SUBSTITUTE(
INDEX(RESUMO!$J$2:$J$100, MATCH(1,
(D51&gt;=RESUMO!$H$2:$H$100)*(D51&lt;=RESUMO!$I$2:$I$100)*(H51&gt;=RESUMO!$K$2:$K$100)*(H51&lt;=RESUMO!$L$2:$L$100),
0)), "R$ ", ""))
))))</f>
        <v>98.95</v>
      </c>
      <c r="K51" s="78">
        <v>0</v>
      </c>
      <c r="L51" s="10">
        <f t="shared" si="7"/>
        <v>3.874516935667116E-3</v>
      </c>
      <c r="M51" s="7">
        <v>465</v>
      </c>
      <c r="N51" s="48">
        <v>0.17</v>
      </c>
      <c r="O51" s="78" cm="1">
        <f t="array" ref="O51">IF(M51&lt;12.5, 0,
IF(M51&lt;29, 6.25,
IF(M51&lt;50, 6.5,
IF(M51&lt;79, 6.75,
VALUE(SUBSTITUTE(
INDEX(RESUMO!$J$2:$J$100, MATCH(1,
(D51&gt;=RESUMO!$H$2:$H$100)*(D51&lt;=RESUMO!$I$2:$I$100)*(M51&gt;=RESUMO!$K$2:$K$100)*(M51&lt;=RESUMO!$L$2:$L$100),
0)), "R$ ", ""))
))))</f>
        <v>98.95</v>
      </c>
      <c r="P51" s="9">
        <v>0</v>
      </c>
      <c r="Q51" s="10">
        <f t="shared" si="1"/>
        <v>1.1664516129031967E-3</v>
      </c>
      <c r="R51" s="5">
        <f t="shared" si="2"/>
        <v>277.14439999999996</v>
      </c>
      <c r="S51" s="5">
        <f t="shared" si="3"/>
        <v>1.7043999999999642</v>
      </c>
      <c r="T51" s="5">
        <f t="shared" si="4"/>
        <v>275.98239999999998</v>
      </c>
      <c r="U51" s="5">
        <f t="shared" si="5"/>
        <v>0.54239999999998645</v>
      </c>
    </row>
    <row r="52" spans="1:21" x14ac:dyDescent="0.25">
      <c r="A52" s="11" t="s">
        <v>20</v>
      </c>
      <c r="B52" s="6" t="s">
        <v>110</v>
      </c>
      <c r="C52" s="9">
        <v>300.05</v>
      </c>
      <c r="D52" s="6">
        <v>23</v>
      </c>
      <c r="E52" s="8">
        <v>0.04</v>
      </c>
      <c r="F52" s="49">
        <v>0</v>
      </c>
      <c r="G52" s="9">
        <v>2</v>
      </c>
      <c r="H52" s="9">
        <v>455</v>
      </c>
      <c r="I52" s="48">
        <v>0.12</v>
      </c>
      <c r="J52" s="78" cm="1">
        <f t="array" ref="J52">IF(H52&lt;12.5, H52/2,
IF(H52&lt;29, 6.25,
IF(H52&lt;50, 6.5,
IF(H52&lt;79, 6.75,
VALUE(SUBSTITUTE(
INDEX(RESUMO!$J$2:$J$100, MATCH(1,
(D52&gt;=RESUMO!$H$2:$H$100)*(D52&lt;=RESUMO!$I$2:$I$100)*(H52&gt;=RESUMO!$K$2:$K$100)*(H52&lt;=RESUMO!$L$2:$L$100),
0)), "R$ ", ""))
))))</f>
        <v>85.95</v>
      </c>
      <c r="K52" s="78">
        <v>0</v>
      </c>
      <c r="L52" s="10">
        <f t="shared" si="7"/>
        <v>5.2703296703295998E-3</v>
      </c>
      <c r="M52" s="7">
        <v>485</v>
      </c>
      <c r="N52" s="48">
        <v>0.17</v>
      </c>
      <c r="O52" s="78" cm="1">
        <f t="array" ref="O52">IF(M52&lt;12.5, 0,
IF(M52&lt;29, 6.25,
IF(M52&lt;50, 6.5,
IF(M52&lt;79, 6.75,
VALUE(SUBSTITUTE(
INDEX(RESUMO!$J$2:$J$100, MATCH(1,
(D52&gt;=RESUMO!$H$2:$H$100)*(D52&lt;=RESUMO!$I$2:$I$100)*(M52&gt;=RESUMO!$K$2:$K$100)*(M52&lt;=RESUMO!$L$2:$L$100),
0)), "R$ ", ""))
))))</f>
        <v>85.95</v>
      </c>
      <c r="P52" s="9">
        <v>0</v>
      </c>
      <c r="Q52" s="10">
        <f t="shared" si="1"/>
        <v>9.3773195876288695E-3</v>
      </c>
      <c r="R52" s="5">
        <f t="shared" si="2"/>
        <v>302.44799999999998</v>
      </c>
      <c r="S52" s="5">
        <f t="shared" si="3"/>
        <v>2.3979999999999677</v>
      </c>
      <c r="T52" s="5">
        <f t="shared" si="4"/>
        <v>304.59800000000001</v>
      </c>
      <c r="U52" s="5">
        <f t="shared" si="5"/>
        <v>4.5480000000000018</v>
      </c>
    </row>
    <row r="53" spans="1:21" x14ac:dyDescent="0.25">
      <c r="A53" s="11" t="s">
        <v>22</v>
      </c>
      <c r="B53" s="6" t="s">
        <v>111</v>
      </c>
      <c r="C53" s="9">
        <v>298.89999999999998</v>
      </c>
      <c r="D53" s="6">
        <v>17</v>
      </c>
      <c r="E53" s="8">
        <v>0.04</v>
      </c>
      <c r="F53" s="49">
        <v>0</v>
      </c>
      <c r="G53" s="9">
        <v>2</v>
      </c>
      <c r="H53" s="9">
        <v>432</v>
      </c>
      <c r="I53" s="48">
        <v>0.11</v>
      </c>
      <c r="J53" s="78" cm="1">
        <f t="array" ref="J53">IF(H53&lt;12.5, H53/2,
IF(H53&lt;29, 6.25,
IF(H53&lt;50, 6.5,
IF(H53&lt;79, 6.75,
VALUE(SUBSTITUTE(
INDEX(RESUMO!$J$2:$J$100, MATCH(1,
(D53&gt;=RESUMO!$H$2:$H$100)*(D53&lt;=RESUMO!$I$2:$I$100)*(H53&gt;=RESUMO!$K$2:$K$100)*(H53&lt;=RESUMO!$L$2:$L$100),
0)), "R$ ", ""))
))))</f>
        <v>73.45</v>
      </c>
      <c r="K53" s="78">
        <v>0</v>
      </c>
      <c r="L53" s="10">
        <f t="shared" si="7"/>
        <v>4.0277777777785882E-4</v>
      </c>
      <c r="M53" s="7">
        <v>459</v>
      </c>
      <c r="N53" s="48">
        <v>0.16</v>
      </c>
      <c r="O53" s="78" cm="1">
        <f t="array" ref="O53">IF(M53&lt;12.5, 0,
IF(M53&lt;29, 6.25,
IF(M53&lt;50, 6.5,
IF(M53&lt;79, 6.75,
VALUE(SUBSTITUTE(
INDEX(RESUMO!$J$2:$J$100, MATCH(1,
(D53&gt;=RESUMO!$H$2:$H$100)*(D53&lt;=RESUMO!$I$2:$I$100)*(M53&gt;=RESUMO!$K$2:$K$100)*(M53&lt;=RESUMO!$L$2:$L$100),
0)), "R$ ", ""))
))))</f>
        <v>73.45</v>
      </c>
      <c r="P53" s="9">
        <v>0</v>
      </c>
      <c r="Q53" s="10">
        <f t="shared" si="1"/>
        <v>2.7320261437908913E-3</v>
      </c>
      <c r="R53" s="5">
        <f t="shared" si="2"/>
        <v>299.07400000000001</v>
      </c>
      <c r="S53" s="5">
        <f t="shared" si="3"/>
        <v>0.17400000000003502</v>
      </c>
      <c r="T53" s="5">
        <f t="shared" si="4"/>
        <v>300.154</v>
      </c>
      <c r="U53" s="5">
        <f t="shared" si="5"/>
        <v>1.2540000000000191</v>
      </c>
    </row>
    <row r="54" spans="1:21" x14ac:dyDescent="0.25">
      <c r="A54" s="11" t="s">
        <v>22</v>
      </c>
      <c r="B54" s="6" t="s">
        <v>112</v>
      </c>
      <c r="C54" s="9">
        <v>106.99</v>
      </c>
      <c r="D54" s="6">
        <v>1</v>
      </c>
      <c r="E54" s="8">
        <v>0.04</v>
      </c>
      <c r="F54" s="49">
        <v>0</v>
      </c>
      <c r="G54" s="9">
        <v>2</v>
      </c>
      <c r="H54" s="9">
        <v>145.4</v>
      </c>
      <c r="I54" s="48">
        <v>0.12</v>
      </c>
      <c r="J54" s="78" cm="1">
        <f t="array" ref="J54">IF(H54&lt;12.5, H54/2,
IF(H54&lt;29, 6.25,
IF(H54&lt;50, 6.5,
IF(H54&lt;79, 6.75,
VALUE(SUBSTITUTE(
INDEX(RESUMO!$J$2:$J$100, MATCH(1,
(D54&gt;=RESUMO!$H$2:$H$100)*(D54&lt;=RESUMO!$I$2:$I$100)*(H54&gt;=RESUMO!$K$2:$K$100)*(H54&lt;=RESUMO!$L$2:$L$100),
0)), "R$ ", ""))
))))</f>
        <v>17.95</v>
      </c>
      <c r="K54" s="78">
        <v>1.86</v>
      </c>
      <c r="L54" s="10">
        <f t="shared" si="7"/>
        <v>4.0742778541953076E-3</v>
      </c>
      <c r="M54" s="7"/>
      <c r="N54" s="48"/>
      <c r="O54" s="78" cm="1">
        <f t="array" ref="O54">IF(M54&lt;12.5, 0,
IF(M54&lt;29, 6.25,
IF(M54&lt;50, 6.5,
IF(M54&lt;79, 6.75,
VALUE(SUBSTITUTE(
INDEX(RESUMO!$J$2:$J$100, MATCH(1,
(D54&gt;=RESUMO!$H$2:$H$100)*(D54&lt;=RESUMO!$I$2:$I$100)*(M54&gt;=RESUMO!$K$2:$K$100)*(M54&lt;=RESUMO!$L$2:$L$100),
0)), "R$ ", ""))
))))</f>
        <v>0</v>
      </c>
      <c r="P54" s="9"/>
      <c r="Q54" s="10" t="e">
        <f t="shared" si="1"/>
        <v>#DIV/0!</v>
      </c>
      <c r="R54" s="5">
        <f t="shared" si="2"/>
        <v>107.58239999999999</v>
      </c>
      <c r="S54" s="5">
        <f t="shared" si="3"/>
        <v>0.59239999999999782</v>
      </c>
      <c r="T54" s="5">
        <f t="shared" si="4"/>
        <v>-4.2796000000000003</v>
      </c>
      <c r="U54" s="5">
        <f t="shared" si="5"/>
        <v>-111.2696</v>
      </c>
    </row>
    <row r="55" spans="1:21" x14ac:dyDescent="0.25">
      <c r="A55" s="11" t="s">
        <v>17</v>
      </c>
      <c r="B55" s="6" t="s">
        <v>113</v>
      </c>
      <c r="C55" s="9">
        <v>139.19999999999999</v>
      </c>
      <c r="D55" s="6">
        <v>0.3</v>
      </c>
      <c r="E55" s="8">
        <v>0.04</v>
      </c>
      <c r="F55" s="49">
        <v>0</v>
      </c>
      <c r="G55" s="9">
        <v>2</v>
      </c>
      <c r="H55" s="9">
        <v>165</v>
      </c>
      <c r="I55" s="48">
        <v>0.13</v>
      </c>
      <c r="J55" s="78" cm="1">
        <f t="array" ref="J55">IF(H55&lt;12.5, H55/2,
IF(H55&lt;29, 6.25,
IF(H55&lt;50, 6.5,
IF(H55&lt;79, 6.75,
VALUE(SUBSTITUTE(
INDEX(RESUMO!$J$2:$J$100, MATCH(1,
(D55&gt;=RESUMO!$H$2:$H$100)*(D55&lt;=RESUMO!$I$2:$I$100)*(H55&gt;=RESUMO!$K$2:$K$100)*(H55&lt;=RESUMO!$L$2:$L$100),
0)), "R$ ", ""))
))))</f>
        <v>17.95</v>
      </c>
      <c r="K55" s="78">
        <v>0</v>
      </c>
      <c r="L55" s="10">
        <f t="shared" si="7"/>
        <v>-0.11616969696969684</v>
      </c>
      <c r="M55" s="7"/>
      <c r="N55" s="48"/>
      <c r="O55" s="78" cm="1">
        <f t="array" ref="O55">IF(M55&lt;12.5, 0,
IF(M55&lt;29, 6.25,
IF(M55&lt;50, 6.5,
IF(M55&lt;79, 6.75,
VALUE(SUBSTITUTE(
INDEX(RESUMO!$J$2:$J$100, MATCH(1,
(D55&gt;=RESUMO!$H$2:$H$100)*(D55&lt;=RESUMO!$I$2:$I$100)*(M55&gt;=RESUMO!$K$2:$K$100)*(M55&lt;=RESUMO!$L$2:$L$100),
0)), "R$ ", ""))
))))</f>
        <v>0</v>
      </c>
      <c r="P55" s="9"/>
      <c r="Q55" s="10" t="e">
        <f t="shared" ref="Q55:Q106" si="8">U55/M55</f>
        <v>#DIV/0!</v>
      </c>
      <c r="R55" s="5">
        <f t="shared" si="2"/>
        <v>120.03200000000001</v>
      </c>
      <c r="S55" s="5">
        <f t="shared" si="3"/>
        <v>-19.167999999999978</v>
      </c>
      <c r="T55" s="5">
        <f t="shared" si="4"/>
        <v>-5.5679999999999996</v>
      </c>
      <c r="U55" s="5">
        <f t="shared" si="5"/>
        <v>-144.768</v>
      </c>
    </row>
    <row r="56" spans="1:21" x14ac:dyDescent="0.25">
      <c r="A56" s="11" t="s">
        <v>17</v>
      </c>
      <c r="B56" s="6" t="s">
        <v>114</v>
      </c>
      <c r="C56" s="9">
        <v>140.37</v>
      </c>
      <c r="D56" s="6">
        <v>2</v>
      </c>
      <c r="E56" s="8">
        <v>0.04</v>
      </c>
      <c r="F56" s="49">
        <v>0</v>
      </c>
      <c r="G56" s="9">
        <v>2</v>
      </c>
      <c r="H56" s="9">
        <v>129.9</v>
      </c>
      <c r="I56" s="48">
        <v>0.13</v>
      </c>
      <c r="J56" s="78" cm="1">
        <f t="array" ref="J56">IF(H56&lt;12.5, H56/2,
IF(H56&lt;29, 6.25,
IF(H56&lt;50, 6.5,
IF(H56&lt;79, 6.75,
VALUE(SUBSTITUTE(
INDEX(RESUMO!$J$2:$J$100, MATCH(1,
(D56&gt;=RESUMO!$H$2:$H$100)*(D56&lt;=RESUMO!$I$2:$I$100)*(H56&gt;=RESUMO!$K$2:$K$100)*(H56&lt;=RESUMO!$L$2:$L$100),
0)), "R$ ", ""))
))))</f>
        <v>18.760000000000002</v>
      </c>
      <c r="K56" s="78">
        <v>0</v>
      </c>
      <c r="L56" s="10">
        <f t="shared" si="7"/>
        <v>-0.39824326404926869</v>
      </c>
      <c r="M56" s="7"/>
      <c r="N56" s="48"/>
      <c r="O56" s="78" cm="1">
        <f t="array" ref="O56">IF(M56&lt;12.5, 0,
IF(M56&lt;29, 6.25,
IF(M56&lt;50, 6.5,
IF(M56&lt;79, 6.75,
VALUE(SUBSTITUTE(
INDEX(RESUMO!$J$2:$J$100, MATCH(1,
(D56&gt;=RESUMO!$H$2:$H$100)*(D56&lt;=RESUMO!$I$2:$I$100)*(M56&gt;=RESUMO!$K$2:$K$100)*(M56&lt;=RESUMO!$L$2:$L$100),
0)), "R$ ", ""))
))))</f>
        <v>0</v>
      </c>
      <c r="P56" s="9"/>
      <c r="Q56" s="10" t="e">
        <f t="shared" si="8"/>
        <v>#DIV/0!</v>
      </c>
      <c r="R56" s="5">
        <f t="shared" si="2"/>
        <v>88.638199999999998</v>
      </c>
      <c r="S56" s="5">
        <f t="shared" si="3"/>
        <v>-51.731800000000007</v>
      </c>
      <c r="T56" s="5">
        <f t="shared" si="4"/>
        <v>-5.6148000000000007</v>
      </c>
      <c r="U56" s="5">
        <f t="shared" si="5"/>
        <v>-145.98480000000001</v>
      </c>
    </row>
    <row r="57" spans="1:21" x14ac:dyDescent="0.25">
      <c r="A57" s="11" t="s">
        <v>17</v>
      </c>
      <c r="B57" s="6" t="s">
        <v>115</v>
      </c>
      <c r="C57" s="9">
        <v>204.75</v>
      </c>
      <c r="D57" s="6">
        <v>3</v>
      </c>
      <c r="E57" s="8">
        <v>0.04</v>
      </c>
      <c r="F57" s="49">
        <v>0</v>
      </c>
      <c r="G57" s="9">
        <v>2</v>
      </c>
      <c r="H57" s="9">
        <v>199.9</v>
      </c>
      <c r="I57" s="48">
        <v>0.13</v>
      </c>
      <c r="J57" s="78" cm="1">
        <f t="array" ref="J57">IF(H57&lt;12.5, H57/2,
IF(H57&lt;29, 6.25,
IF(H57&lt;50, 6.5,
IF(H57&lt;79, 6.75,
VALUE(SUBSTITUTE(
INDEX(RESUMO!$J$2:$J$100, MATCH(1,
(D57&gt;=RESUMO!$H$2:$H$100)*(D57&lt;=RESUMO!$I$2:$I$100)*(H57&gt;=RESUMO!$K$2:$K$100)*(H57&lt;=RESUMO!$L$2:$L$100),
0)), "R$ ", ""))
))))</f>
        <v>22.45</v>
      </c>
      <c r="K57" s="78">
        <v>0</v>
      </c>
      <c r="L57" s="10">
        <f t="shared" si="7"/>
        <v>-0.30753876938469221</v>
      </c>
      <c r="M57" s="7"/>
      <c r="N57" s="48"/>
      <c r="O57" s="78" cm="1">
        <f t="array" ref="O57">IF(M57&lt;12.5, 0,
IF(M57&lt;29, 6.25,
IF(M57&lt;50, 6.5,
IF(M57&lt;79, 6.75,
VALUE(SUBSTITUTE(
INDEX(RESUMO!$J$2:$J$100, MATCH(1,
(D57&gt;=RESUMO!$H$2:$H$100)*(D57&lt;=RESUMO!$I$2:$I$100)*(M57&gt;=RESUMO!$K$2:$K$100)*(M57&lt;=RESUMO!$L$2:$L$100),
0)), "R$ ", ""))
))))</f>
        <v>0</v>
      </c>
      <c r="P57" s="9"/>
      <c r="Q57" s="10" t="e">
        <f t="shared" si="8"/>
        <v>#DIV/0!</v>
      </c>
      <c r="R57" s="5">
        <f t="shared" si="2"/>
        <v>143.27300000000002</v>
      </c>
      <c r="S57" s="5">
        <f t="shared" si="3"/>
        <v>-61.476999999999975</v>
      </c>
      <c r="T57" s="5">
        <f t="shared" si="4"/>
        <v>-8.19</v>
      </c>
      <c r="U57" s="5">
        <f t="shared" si="5"/>
        <v>-212.94</v>
      </c>
    </row>
    <row r="58" spans="1:21" x14ac:dyDescent="0.25">
      <c r="A58" s="11" t="s">
        <v>33</v>
      </c>
      <c r="B58" s="6" t="s">
        <v>116</v>
      </c>
      <c r="C58" s="9">
        <v>119.67</v>
      </c>
      <c r="D58" s="6">
        <v>3</v>
      </c>
      <c r="E58" s="8">
        <v>0.04</v>
      </c>
      <c r="F58" s="49">
        <v>0</v>
      </c>
      <c r="G58" s="9">
        <v>2</v>
      </c>
      <c r="H58" s="9">
        <v>165</v>
      </c>
      <c r="I58" s="48">
        <v>0.11</v>
      </c>
      <c r="J58" s="78" cm="1">
        <f t="array" ref="J58">IF(H58&lt;12.5, H58/2,
IF(H58&lt;29, 6.25,
IF(H58&lt;50, 6.5,
IF(H58&lt;79, 6.75,
VALUE(SUBSTITUTE(
INDEX(RESUMO!$J$2:$J$100, MATCH(1,
(D58&gt;=RESUMO!$H$2:$H$100)*(D58&lt;=RESUMO!$I$2:$I$100)*(H58&gt;=RESUMO!$K$2:$K$100)*(H58&lt;=RESUMO!$L$2:$L$100),
0)), "R$ ", ""))
))))</f>
        <v>22.45</v>
      </c>
      <c r="K58" s="78">
        <v>0</v>
      </c>
      <c r="L58" s="10">
        <f t="shared" si="7"/>
        <v>-3.4424242424248324E-4</v>
      </c>
      <c r="M58" s="7">
        <v>175</v>
      </c>
      <c r="N58" s="48">
        <v>0.16</v>
      </c>
      <c r="O58" s="78" cm="1">
        <f t="array" ref="O58">IF(M58&lt;12.5, 0,
IF(M58&lt;29, 6.25,
IF(M58&lt;50, 6.5,
IF(M58&lt;79, 6.75,
VALUE(SUBSTITUTE(
INDEX(RESUMO!$J$2:$J$100, MATCH(1,
(D58&gt;=RESUMO!$H$2:$H$100)*(D58&lt;=RESUMO!$I$2:$I$100)*(M58&gt;=RESUMO!$K$2:$K$100)*(M58&lt;=RESUMO!$L$2:$L$100),
0)), "R$ ", ""))
))))</f>
        <v>22.45</v>
      </c>
      <c r="P58" s="9">
        <v>0</v>
      </c>
      <c r="Q58" s="10">
        <f t="shared" si="8"/>
        <v>5.3257142857140549E-4</v>
      </c>
      <c r="R58" s="5">
        <f t="shared" si="2"/>
        <v>119.61319999999999</v>
      </c>
      <c r="S58" s="5">
        <f t="shared" si="3"/>
        <v>-5.6800000000009732E-2</v>
      </c>
      <c r="T58" s="5">
        <f t="shared" si="4"/>
        <v>119.7632</v>
      </c>
      <c r="U58" s="5">
        <f t="shared" si="5"/>
        <v>9.3199999999995953E-2</v>
      </c>
    </row>
    <row r="59" spans="1:21" x14ac:dyDescent="0.25">
      <c r="A59" s="11" t="s">
        <v>25</v>
      </c>
      <c r="B59" s="6" t="s">
        <v>117</v>
      </c>
      <c r="C59" s="9">
        <v>130.51</v>
      </c>
      <c r="D59" s="6">
        <v>3</v>
      </c>
      <c r="E59" s="8">
        <v>0.04</v>
      </c>
      <c r="F59" s="49">
        <v>0</v>
      </c>
      <c r="G59" s="9">
        <v>0</v>
      </c>
      <c r="H59" s="9">
        <v>191.4</v>
      </c>
      <c r="I59" s="48">
        <v>0.11</v>
      </c>
      <c r="J59" s="78" cm="1">
        <f t="array" ref="J59">IF(H59&lt;12.5, H59/2,
IF(H59&lt;29, 6.25,
IF(H59&lt;50, 6.5,
IF(H59&lt;79, 6.75,
VALUE(SUBSTITUTE(
INDEX(RESUMO!$J$2:$J$100, MATCH(1,
(D59&gt;=RESUMO!$H$2:$H$100)*(D59&lt;=RESUMO!$I$2:$I$100)*(H59&gt;=RESUMO!$K$2:$K$100)*(H59&lt;=RESUMO!$L$2:$L$100),
0)), "R$ ", ""))
))))</f>
        <v>22.45</v>
      </c>
      <c r="K59" s="78">
        <v>0</v>
      </c>
      <c r="L59" s="10">
        <f t="shared" si="7"/>
        <v>6.3561128526645833E-2</v>
      </c>
      <c r="M59" s="7">
        <v>204.45</v>
      </c>
      <c r="N59" s="48">
        <v>0.16</v>
      </c>
      <c r="O59" s="78" cm="1">
        <f t="array" ref="O59">IF(M59&lt;12.5, 0,
IF(M59&lt;29, 6.25,
IF(M59&lt;50, 6.5,
IF(M59&lt;79, 6.75,
VALUE(SUBSTITUTE(
INDEX(RESUMO!$J$2:$J$100, MATCH(1,
(D59&gt;=RESUMO!$H$2:$H$100)*(D59&lt;=RESUMO!$I$2:$I$100)*(M59&gt;=RESUMO!$K$2:$K$100)*(M59&lt;=RESUMO!$L$2:$L$100),
0)), "R$ ", ""))
))))</f>
        <v>24.95</v>
      </c>
      <c r="P59" s="9">
        <v>0</v>
      </c>
      <c r="Q59" s="10">
        <f t="shared" si="8"/>
        <v>5.408461726583521E-2</v>
      </c>
      <c r="R59" s="5">
        <f t="shared" si="2"/>
        <v>142.6756</v>
      </c>
      <c r="S59" s="5">
        <f t="shared" si="3"/>
        <v>12.165600000000012</v>
      </c>
      <c r="T59" s="5">
        <f t="shared" si="4"/>
        <v>141.5676</v>
      </c>
      <c r="U59" s="5">
        <f t="shared" si="5"/>
        <v>11.057600000000008</v>
      </c>
    </row>
    <row r="60" spans="1:21" x14ac:dyDescent="0.25">
      <c r="A60" s="11" t="s">
        <v>33</v>
      </c>
      <c r="B60" s="6" t="s">
        <v>118</v>
      </c>
      <c r="C60" s="9">
        <v>135.63999999999999</v>
      </c>
      <c r="D60" s="6">
        <v>3</v>
      </c>
      <c r="E60" s="8">
        <v>0.04</v>
      </c>
      <c r="F60" s="49">
        <v>0</v>
      </c>
      <c r="G60" s="9">
        <v>2</v>
      </c>
      <c r="H60" s="9">
        <v>185</v>
      </c>
      <c r="I60" s="48">
        <v>0.11</v>
      </c>
      <c r="J60" s="78" cm="1">
        <f t="array" ref="J60">IF(H60&lt;12.5, H60/2,
IF(H60&lt;29, 6.25,
IF(H60&lt;50, 6.5,
IF(H60&lt;79, 6.75,
VALUE(SUBSTITUTE(
INDEX(RESUMO!$J$2:$J$100, MATCH(1,
(D60&gt;=RESUMO!$H$2:$H$100)*(D60&lt;=RESUMO!$I$2:$I$100)*(H60&gt;=RESUMO!$K$2:$K$100)*(H60&lt;=RESUMO!$L$2:$L$100),
0)), "R$ ", ""))
))))</f>
        <v>22.45</v>
      </c>
      <c r="K60" s="78">
        <v>0</v>
      </c>
      <c r="L60" s="10">
        <f t="shared" si="7"/>
        <v>6.1318918918920424E-3</v>
      </c>
      <c r="M60" s="7">
        <v>195</v>
      </c>
      <c r="N60" s="48">
        <v>0.16</v>
      </c>
      <c r="O60" s="78" cm="1">
        <f t="array" ref="O60">IF(M60&lt;12.5, 0,
IF(M60&lt;29, 6.25,
IF(M60&lt;50, 6.5,
IF(M60&lt;79, 6.75,
VALUE(SUBSTITUTE(
INDEX(RESUMO!$J$2:$J$100, MATCH(1,
(D60&gt;=RESUMO!$H$2:$H$100)*(D60&lt;=RESUMO!$I$2:$I$100)*(M60&gt;=RESUMO!$K$2:$K$100)*(M60&lt;=RESUMO!$L$2:$L$100),
0)), "R$ ", ""))
))))</f>
        <v>22.45</v>
      </c>
      <c r="P60" s="9">
        <v>0</v>
      </c>
      <c r="Q60" s="10">
        <f t="shared" si="8"/>
        <v>1.4584615384617104E-3</v>
      </c>
      <c r="R60" s="5">
        <f t="shared" ref="R60:R115" si="9">(H60-(H60*I60)-J60-(C60*E60)+K60)</f>
        <v>136.77440000000001</v>
      </c>
      <c r="S60" s="5">
        <f t="shared" ref="S60:S115" si="10">R60-(C60-F60)</f>
        <v>1.1344000000000278</v>
      </c>
      <c r="T60" s="5">
        <f t="shared" ref="T60:T115" si="11">(M60-(M60*N60)-O60-(C60*E60)+P60)</f>
        <v>135.92440000000002</v>
      </c>
      <c r="U60" s="5">
        <f t="shared" ref="U60:U115" si="12">T60-(C60-F60)</f>
        <v>0.28440000000003351</v>
      </c>
    </row>
    <row r="61" spans="1:21" x14ac:dyDescent="0.25">
      <c r="A61" s="11" t="s">
        <v>33</v>
      </c>
      <c r="B61" s="6" t="s">
        <v>119</v>
      </c>
      <c r="C61" s="9">
        <v>135.63999999999999</v>
      </c>
      <c r="D61" s="6">
        <v>3</v>
      </c>
      <c r="E61" s="8">
        <v>0.04</v>
      </c>
      <c r="F61" s="49">
        <v>0</v>
      </c>
      <c r="G61" s="9">
        <v>2</v>
      </c>
      <c r="H61" s="9">
        <v>185</v>
      </c>
      <c r="I61" s="48">
        <v>0.11</v>
      </c>
      <c r="J61" s="78" cm="1">
        <f t="array" ref="J61">IF(H61&lt;12.5, H61/2,
IF(H61&lt;29, 6.25,
IF(H61&lt;50, 6.5,
IF(H61&lt;79, 6.75,
VALUE(SUBSTITUTE(
INDEX(RESUMO!$J$2:$J$100, MATCH(1,
(D61&gt;=RESUMO!$H$2:$H$100)*(D61&lt;=RESUMO!$I$2:$I$100)*(H61&gt;=RESUMO!$K$2:$K$100)*(H61&lt;=RESUMO!$L$2:$L$100),
0)), "R$ ", ""))
))))</f>
        <v>22.45</v>
      </c>
      <c r="K61" s="78">
        <v>0</v>
      </c>
      <c r="L61" s="10">
        <f t="shared" si="7"/>
        <v>6.1318918918920424E-3</v>
      </c>
      <c r="M61" s="7">
        <v>195</v>
      </c>
      <c r="N61" s="48">
        <v>0.16</v>
      </c>
      <c r="O61" s="78" cm="1">
        <f t="array" ref="O61">IF(M61&lt;12.5, 0,
IF(M61&lt;29, 6.25,
IF(M61&lt;50, 6.5,
IF(M61&lt;79, 6.75,
VALUE(SUBSTITUTE(
INDEX(RESUMO!$J$2:$J$100, MATCH(1,
(D61&gt;=RESUMO!$H$2:$H$100)*(D61&lt;=RESUMO!$I$2:$I$100)*(M61&gt;=RESUMO!$K$2:$K$100)*(M61&lt;=RESUMO!$L$2:$L$100),
0)), "R$ ", ""))
))))</f>
        <v>22.45</v>
      </c>
      <c r="P61" s="9">
        <v>0</v>
      </c>
      <c r="Q61" s="10">
        <f t="shared" si="8"/>
        <v>1.4584615384617104E-3</v>
      </c>
      <c r="R61" s="5">
        <f t="shared" si="9"/>
        <v>136.77440000000001</v>
      </c>
      <c r="S61" s="5">
        <f t="shared" si="10"/>
        <v>1.1344000000000278</v>
      </c>
      <c r="T61" s="5">
        <f t="shared" si="11"/>
        <v>135.92440000000002</v>
      </c>
      <c r="U61" s="5">
        <f t="shared" si="12"/>
        <v>0.28440000000003351</v>
      </c>
    </row>
    <row r="62" spans="1:21" x14ac:dyDescent="0.25">
      <c r="A62" s="11" t="s">
        <v>33</v>
      </c>
      <c r="B62" s="6" t="s">
        <v>120</v>
      </c>
      <c r="C62" s="9">
        <v>129</v>
      </c>
      <c r="D62" s="6">
        <v>4</v>
      </c>
      <c r="E62" s="8">
        <v>0.04</v>
      </c>
      <c r="F62" s="49">
        <v>0</v>
      </c>
      <c r="G62" s="9">
        <v>2</v>
      </c>
      <c r="H62" s="9">
        <v>179</v>
      </c>
      <c r="I62" s="48">
        <v>0.11</v>
      </c>
      <c r="J62" s="78" cm="1">
        <f t="array" ref="J62">IF(H62&lt;12.5, H62/2,
IF(H62&lt;29, 6.25,
IF(H62&lt;50, 6.5,
IF(H62&lt;79, 6.75,
VALUE(SUBSTITUTE(
INDEX(RESUMO!$J$2:$J$100, MATCH(1,
(D62&gt;=RESUMO!$H$2:$H$100)*(D62&lt;=RESUMO!$I$2:$I$100)*(H62&gt;=RESUMO!$K$2:$K$100)*(H62&lt;=RESUMO!$L$2:$L$100),
0)), "R$ ", ""))
))))</f>
        <v>24.25</v>
      </c>
      <c r="K62" s="78">
        <v>0</v>
      </c>
      <c r="L62" s="10">
        <f t="shared" si="7"/>
        <v>5.0279329608938867E-3</v>
      </c>
      <c r="M62" s="7">
        <v>189.9</v>
      </c>
      <c r="N62" s="48">
        <v>0.16</v>
      </c>
      <c r="O62" s="78" cm="1">
        <f t="array" ref="O62">IF(M62&lt;12.5, 0,
IF(M62&lt;29, 6.25,
IF(M62&lt;50, 6.5,
IF(M62&lt;79, 6.75,
VALUE(SUBSTITUTE(
INDEX(RESUMO!$J$2:$J$100, MATCH(1,
(D62&gt;=RESUMO!$H$2:$H$100)*(D62&lt;=RESUMO!$I$2:$I$100)*(M62&gt;=RESUMO!$K$2:$K$100)*(M62&lt;=RESUMO!$L$2:$L$100),
0)), "R$ ", ""))
))))</f>
        <v>24.25</v>
      </c>
      <c r="P62" s="9">
        <v>0</v>
      </c>
      <c r="Q62" s="10">
        <f t="shared" si="8"/>
        <v>5.8241179568194997E-3</v>
      </c>
      <c r="R62" s="5">
        <f t="shared" si="9"/>
        <v>129.9</v>
      </c>
      <c r="S62" s="5">
        <f t="shared" si="10"/>
        <v>0.90000000000000568</v>
      </c>
      <c r="T62" s="5">
        <f t="shared" si="11"/>
        <v>130.10600000000002</v>
      </c>
      <c r="U62" s="5">
        <f t="shared" si="12"/>
        <v>1.106000000000023</v>
      </c>
    </row>
    <row r="63" spans="1:21" x14ac:dyDescent="0.25">
      <c r="A63" s="11" t="s">
        <v>22</v>
      </c>
      <c r="B63" s="6" t="s">
        <v>121</v>
      </c>
      <c r="C63" s="9">
        <v>91.99</v>
      </c>
      <c r="D63" s="6">
        <v>0.5</v>
      </c>
      <c r="E63" s="8">
        <v>0.04</v>
      </c>
      <c r="F63" s="49">
        <v>0</v>
      </c>
      <c r="G63" s="9">
        <v>2</v>
      </c>
      <c r="H63" s="9">
        <v>122.9</v>
      </c>
      <c r="I63" s="48">
        <v>0.12</v>
      </c>
      <c r="J63" s="78" cm="1">
        <f t="array" ref="J63">IF(H63&lt;12.5, H63/2,
IF(H63&lt;29, 6.25,
IF(H63&lt;50, 6.5,
IF(H63&lt;79, 6.75,
VALUE(SUBSTITUTE(
INDEX(RESUMO!$J$2:$J$100, MATCH(1,
(D63&gt;=RESUMO!$H$2:$H$100)*(D63&lt;=RESUMO!$I$2:$I$100)*(H63&gt;=RESUMO!$K$2:$K$100)*(H63&lt;=RESUMO!$L$2:$L$100),
0)), "R$ ", ""))
))))</f>
        <v>17.16</v>
      </c>
      <c r="K63" s="78">
        <v>0</v>
      </c>
      <c r="L63" s="10">
        <f t="shared" si="7"/>
        <v>-3.8060211554108901E-2</v>
      </c>
      <c r="M63" s="7">
        <v>154</v>
      </c>
      <c r="N63" s="48">
        <v>0.17</v>
      </c>
      <c r="O63" s="78" cm="1">
        <f t="array" ref="O63">IF(M63&lt;12.5, 0,
IF(M63&lt;29, 6.25,
IF(M63&lt;50, 6.5,
IF(M63&lt;79, 6.75,
VALUE(SUBSTITUTE(
INDEX(RESUMO!$J$2:$J$100, MATCH(1,
(D63&gt;=RESUMO!$H$2:$H$100)*(D63&lt;=RESUMO!$I$2:$I$100)*(M63&gt;=RESUMO!$K$2:$K$100)*(M63&lt;=RESUMO!$L$2:$L$100),
0)), "R$ ", ""))
))))</f>
        <v>19.3</v>
      </c>
      <c r="P63" s="9">
        <v>0</v>
      </c>
      <c r="Q63" s="10">
        <f t="shared" si="8"/>
        <v>8.344415584415589E-2</v>
      </c>
      <c r="R63" s="5">
        <f t="shared" si="9"/>
        <v>87.312400000000011</v>
      </c>
      <c r="S63" s="5">
        <f t="shared" si="10"/>
        <v>-4.677599999999984</v>
      </c>
      <c r="T63" s="5">
        <f t="shared" si="11"/>
        <v>104.8404</v>
      </c>
      <c r="U63" s="5">
        <f t="shared" si="12"/>
        <v>12.850400000000008</v>
      </c>
    </row>
    <row r="64" spans="1:21" x14ac:dyDescent="0.25">
      <c r="A64" s="11" t="s">
        <v>33</v>
      </c>
      <c r="B64" s="6" t="s">
        <v>122</v>
      </c>
      <c r="C64" s="9">
        <v>137</v>
      </c>
      <c r="D64" s="6">
        <v>4</v>
      </c>
      <c r="E64" s="8">
        <v>0.04</v>
      </c>
      <c r="F64" s="49">
        <v>0</v>
      </c>
      <c r="G64" s="9">
        <v>2</v>
      </c>
      <c r="H64" s="9">
        <v>189</v>
      </c>
      <c r="I64" s="48">
        <v>0.11</v>
      </c>
      <c r="J64" s="78" cm="1">
        <f t="array" ref="J64">IF(H64&lt;12.5, H64/2,
IF(H64&lt;29, 6.25,
IF(H64&lt;50, 6.5,
IF(H64&lt;79, 6.75,
VALUE(SUBSTITUTE(
INDEX(RESUMO!$J$2:$J$100, MATCH(1,
(D64&gt;=RESUMO!$H$2:$H$100)*(D64&lt;=RESUMO!$I$2:$I$100)*(H64&gt;=RESUMO!$K$2:$K$100)*(H64&lt;=RESUMO!$L$2:$L$100),
0)), "R$ ", ""))
))))</f>
        <v>24.25</v>
      </c>
      <c r="K64" s="78">
        <v>0</v>
      </c>
      <c r="L64" s="10">
        <f t="shared" si="7"/>
        <v>7.8306878306879275E-3</v>
      </c>
      <c r="M64" s="7">
        <v>199</v>
      </c>
      <c r="N64" s="48">
        <v>0.16</v>
      </c>
      <c r="O64" s="78" cm="1">
        <f t="array" ref="O64">IF(M64&lt;12.5, 0,
IF(M64&lt;29, 6.25,
IF(M64&lt;50, 6.5,
IF(M64&lt;79, 6.75,
VALUE(SUBSTITUTE(
INDEX(RESUMO!$J$2:$J$100, MATCH(1,
(D64&gt;=RESUMO!$H$2:$H$100)*(D64&lt;=RESUMO!$I$2:$I$100)*(M64&gt;=RESUMO!$K$2:$K$100)*(M64&lt;=RESUMO!$L$2:$L$100),
0)), "R$ ", ""))
))))</f>
        <v>24.25</v>
      </c>
      <c r="P64" s="9">
        <v>0</v>
      </c>
      <c r="Q64" s="10">
        <f t="shared" si="8"/>
        <v>2.1608040201005368E-3</v>
      </c>
      <c r="R64" s="5">
        <f t="shared" si="9"/>
        <v>138.48000000000002</v>
      </c>
      <c r="S64" s="5">
        <f t="shared" si="10"/>
        <v>1.4800000000000182</v>
      </c>
      <c r="T64" s="5">
        <f t="shared" si="11"/>
        <v>137.43</v>
      </c>
      <c r="U64" s="5">
        <f t="shared" si="12"/>
        <v>0.43000000000000682</v>
      </c>
    </row>
    <row r="65" spans="1:21" x14ac:dyDescent="0.25">
      <c r="A65" s="11" t="s">
        <v>33</v>
      </c>
      <c r="B65" s="6" t="s">
        <v>123</v>
      </c>
      <c r="C65" s="9">
        <v>99</v>
      </c>
      <c r="D65" s="6">
        <v>4</v>
      </c>
      <c r="E65" s="8">
        <v>0.04</v>
      </c>
      <c r="F65" s="49">
        <v>0</v>
      </c>
      <c r="G65" s="9">
        <v>2</v>
      </c>
      <c r="H65" s="9">
        <v>142</v>
      </c>
      <c r="I65" s="48">
        <v>0.11</v>
      </c>
      <c r="J65" s="78" cm="1">
        <f t="array" ref="J65">IF(H65&lt;12.5, H65/2,
IF(H65&lt;29, 6.25,
IF(H65&lt;50, 6.5,
IF(H65&lt;79, 6.75,
VALUE(SUBSTITUTE(
INDEX(RESUMO!$J$2:$J$100, MATCH(1,
(D65&gt;=RESUMO!$H$2:$H$100)*(D65&lt;=RESUMO!$I$2:$I$100)*(H65&gt;=RESUMO!$K$2:$K$100)*(H65&lt;=RESUMO!$L$2:$L$100),
0)), "R$ ", ""))
))))</f>
        <v>21.56</v>
      </c>
      <c r="K65" s="78">
        <v>0</v>
      </c>
      <c r="L65" s="10">
        <f t="shared" si="7"/>
        <v>1.309859154929577E-2</v>
      </c>
      <c r="M65" s="7">
        <v>155</v>
      </c>
      <c r="N65" s="48">
        <v>0.16</v>
      </c>
      <c r="O65" s="78" cm="1">
        <f t="array" ref="O65">IF(M65&lt;12.5, 0,
IF(M65&lt;29, 6.25,
IF(M65&lt;50, 6.5,
IF(M65&lt;79, 6.75,
VALUE(SUBSTITUTE(
INDEX(RESUMO!$J$2:$J$100, MATCH(1,
(D65&gt;=RESUMO!$H$2:$H$100)*(D65&lt;=RESUMO!$I$2:$I$100)*(M65&gt;=RESUMO!$K$2:$K$100)*(M65&lt;=RESUMO!$L$2:$L$100),
0)), "R$ ", ""))
))))</f>
        <v>24.25</v>
      </c>
      <c r="P65" s="9">
        <v>0</v>
      </c>
      <c r="Q65" s="10">
        <f t="shared" si="8"/>
        <v>1.9290322580645128E-2</v>
      </c>
      <c r="R65" s="5">
        <f t="shared" si="9"/>
        <v>100.86</v>
      </c>
      <c r="S65" s="5">
        <f t="shared" si="10"/>
        <v>1.8599999999999994</v>
      </c>
      <c r="T65" s="5">
        <f t="shared" si="11"/>
        <v>101.99</v>
      </c>
      <c r="U65" s="5">
        <f t="shared" si="12"/>
        <v>2.9899999999999949</v>
      </c>
    </row>
    <row r="66" spans="1:21" x14ac:dyDescent="0.25">
      <c r="A66" s="11" t="s">
        <v>33</v>
      </c>
      <c r="B66" s="6" t="s">
        <v>124</v>
      </c>
      <c r="C66" s="9">
        <v>579.26</v>
      </c>
      <c r="D66" s="6">
        <v>17</v>
      </c>
      <c r="E66" s="8">
        <v>0.04</v>
      </c>
      <c r="F66" s="49">
        <v>0</v>
      </c>
      <c r="G66" s="9">
        <v>2</v>
      </c>
      <c r="H66" s="9">
        <v>765</v>
      </c>
      <c r="I66" s="48">
        <v>0.11</v>
      </c>
      <c r="J66" s="78" cm="1">
        <f t="array" ref="J66">IF(H66&lt;12.5, H66/2,
IF(H66&lt;29, 6.25,
IF(H66&lt;50, 6.5,
IF(H66&lt;79, 6.75,
VALUE(SUBSTITUTE(
INDEX(RESUMO!$J$2:$J$100, MATCH(1,
(D66&gt;=RESUMO!$H$2:$H$100)*(D66&lt;=RESUMO!$I$2:$I$100)*(H66&gt;=RESUMO!$K$2:$K$100)*(H66&lt;=RESUMO!$L$2:$L$100),
0)), "R$ ", ""))
))))</f>
        <v>73.45</v>
      </c>
      <c r="K66" s="78">
        <v>0</v>
      </c>
      <c r="L66" s="10">
        <f t="shared" si="7"/>
        <v>6.4962091503268154E-3</v>
      </c>
      <c r="M66" s="7">
        <v>810</v>
      </c>
      <c r="N66" s="48">
        <v>0.16</v>
      </c>
      <c r="O66" s="78" cm="1">
        <f t="array" ref="O66">IF(M66&lt;12.5, 0,
IF(M66&lt;29, 6.25,
IF(M66&lt;50, 6.5,
IF(M66&lt;79, 6.75,
VALUE(SUBSTITUTE(
INDEX(RESUMO!$J$2:$J$100, MATCH(1,
(D66&gt;=RESUMO!$H$2:$H$100)*(D66&lt;=RESUMO!$I$2:$I$100)*(M66&gt;=RESUMO!$K$2:$K$100)*(M66&lt;=RESUMO!$L$2:$L$100),
0)), "R$ ", ""))
))))</f>
        <v>73.45</v>
      </c>
      <c r="P66" s="9">
        <v>0</v>
      </c>
      <c r="Q66" s="10">
        <f t="shared" si="8"/>
        <v>5.5797530864197141E-3</v>
      </c>
      <c r="R66" s="5">
        <f t="shared" si="9"/>
        <v>584.2296</v>
      </c>
      <c r="S66" s="5">
        <f t="shared" si="10"/>
        <v>4.969600000000014</v>
      </c>
      <c r="T66" s="5">
        <f t="shared" si="11"/>
        <v>583.77959999999996</v>
      </c>
      <c r="U66" s="5">
        <f t="shared" si="12"/>
        <v>4.5195999999999685</v>
      </c>
    </row>
    <row r="67" spans="1:21" x14ac:dyDescent="0.25">
      <c r="A67" s="11" t="s">
        <v>33</v>
      </c>
      <c r="B67" s="6" t="s">
        <v>125</v>
      </c>
      <c r="C67" s="9">
        <v>487.97</v>
      </c>
      <c r="D67" s="6">
        <v>13</v>
      </c>
      <c r="E67" s="8">
        <v>0.04</v>
      </c>
      <c r="F67" s="49">
        <v>0</v>
      </c>
      <c r="G67" s="9">
        <v>2</v>
      </c>
      <c r="H67" s="9">
        <v>649</v>
      </c>
      <c r="I67" s="48">
        <v>0.11</v>
      </c>
      <c r="J67" s="78" cm="1">
        <f t="array" ref="J67">IF(H67&lt;12.5, H67/2,
IF(H67&lt;29, 6.25,
IF(H67&lt;50, 6.5,
IF(H67&lt;79, 6.75,
VALUE(SUBSTITUTE(
INDEX(RESUMO!$J$2:$J$100, MATCH(1,
(D67&gt;=RESUMO!$H$2:$H$100)*(D67&lt;=RESUMO!$I$2:$I$100)*(H67&gt;=RESUMO!$K$2:$K$100)*(H67&lt;=RESUMO!$L$2:$L$100),
0)), "R$ ", ""))
))))</f>
        <v>65.95</v>
      </c>
      <c r="K67" s="78">
        <v>0</v>
      </c>
      <c r="L67" s="10">
        <f t="shared" si="7"/>
        <v>6.4271186440677947E-3</v>
      </c>
      <c r="M67" s="7">
        <v>689</v>
      </c>
      <c r="N67" s="48">
        <v>0.16</v>
      </c>
      <c r="O67" s="78" cm="1">
        <f t="array" ref="O67">IF(M67&lt;12.5, 0,
IF(M67&lt;29, 6.25,
IF(M67&lt;50, 6.5,
IF(M67&lt;79, 6.75,
VALUE(SUBSTITUTE(
INDEX(RESUMO!$J$2:$J$100, MATCH(1,
(D67&gt;=RESUMO!$H$2:$H$100)*(D67&lt;=RESUMO!$I$2:$I$100)*(M67&gt;=RESUMO!$K$2:$K$100)*(M67&lt;=RESUMO!$L$2:$L$100),
0)), "R$ ", ""))
))))</f>
        <v>65.95</v>
      </c>
      <c r="P67" s="9">
        <v>0</v>
      </c>
      <c r="Q67" s="10">
        <f t="shared" si="8"/>
        <v>7.7230769230768057E-3</v>
      </c>
      <c r="R67" s="5">
        <f t="shared" si="9"/>
        <v>492.14120000000003</v>
      </c>
      <c r="S67" s="5">
        <f t="shared" si="10"/>
        <v>4.1711999999999989</v>
      </c>
      <c r="T67" s="5">
        <f t="shared" si="11"/>
        <v>493.29119999999995</v>
      </c>
      <c r="U67" s="5">
        <f t="shared" si="12"/>
        <v>5.3211999999999193</v>
      </c>
    </row>
    <row r="68" spans="1:21" x14ac:dyDescent="0.25">
      <c r="A68" s="11" t="s">
        <v>25</v>
      </c>
      <c r="B68" s="6" t="s">
        <v>126</v>
      </c>
      <c r="C68" s="9">
        <v>369.79</v>
      </c>
      <c r="D68" s="6">
        <v>17</v>
      </c>
      <c r="E68" s="8">
        <v>0.04</v>
      </c>
      <c r="F68" s="49">
        <v>0</v>
      </c>
      <c r="G68" s="9">
        <v>2</v>
      </c>
      <c r="H68" s="9">
        <v>519</v>
      </c>
      <c r="I68" s="48">
        <v>0.11</v>
      </c>
      <c r="J68" s="78" cm="1">
        <f t="array" ref="J68">IF(H68&lt;12.5, H68/2,
IF(H68&lt;29, 6.25,
IF(H68&lt;50, 6.5,
IF(H68&lt;79, 6.75,
VALUE(SUBSTITUTE(
INDEX(RESUMO!$J$2:$J$100, MATCH(1,
(D68&gt;=RESUMO!$H$2:$H$100)*(D68&lt;=RESUMO!$I$2:$I$100)*(H68&gt;=RESUMO!$K$2:$K$100)*(H68&lt;=RESUMO!$L$2:$L$100),
0)), "R$ ", ""))
))))</f>
        <v>73.45</v>
      </c>
      <c r="K68" s="78">
        <v>0</v>
      </c>
      <c r="L68" s="10">
        <f t="shared" si="7"/>
        <v>7.4728323699420852E-3</v>
      </c>
      <c r="M68" s="7">
        <v>549</v>
      </c>
      <c r="N68" s="48">
        <v>0.16</v>
      </c>
      <c r="O68" s="78" cm="1">
        <f t="array" ref="O68">IF(M68&lt;12.5, 0,
IF(M68&lt;29, 6.25,
IF(M68&lt;50, 6.5,
IF(M68&lt;79, 6.75,
VALUE(SUBSTITUTE(
INDEX(RESUMO!$J$2:$J$100, MATCH(1,
(D68&gt;=RESUMO!$H$2:$H$100)*(D68&lt;=RESUMO!$I$2:$I$100)*(M68&gt;=RESUMO!$K$2:$K$100)*(M68&lt;=RESUMO!$L$2:$L$100),
0)), "R$ ", ""))
))))</f>
        <v>73.45</v>
      </c>
      <c r="P68" s="9">
        <v>0</v>
      </c>
      <c r="Q68" s="10">
        <f t="shared" si="8"/>
        <v>5.6983606557376E-3</v>
      </c>
      <c r="R68" s="5">
        <f t="shared" si="9"/>
        <v>373.66839999999996</v>
      </c>
      <c r="S68" s="5">
        <f t="shared" si="10"/>
        <v>3.8783999999999423</v>
      </c>
      <c r="T68" s="5">
        <f t="shared" si="11"/>
        <v>372.91839999999996</v>
      </c>
      <c r="U68" s="5">
        <f t="shared" si="12"/>
        <v>3.1283999999999423</v>
      </c>
    </row>
    <row r="69" spans="1:21" x14ac:dyDescent="0.25">
      <c r="A69" s="11" t="s">
        <v>37</v>
      </c>
      <c r="B69" s="6" t="s">
        <v>127</v>
      </c>
      <c r="C69" s="9">
        <v>119.9</v>
      </c>
      <c r="D69" s="6">
        <v>0.5</v>
      </c>
      <c r="E69" s="8">
        <v>0.04</v>
      </c>
      <c r="F69" s="49">
        <v>0</v>
      </c>
      <c r="G69" s="9">
        <v>2</v>
      </c>
      <c r="H69" s="9">
        <v>165</v>
      </c>
      <c r="I69" s="48">
        <v>0.12</v>
      </c>
      <c r="J69" s="78" cm="1">
        <f t="array" ref="J69">IF(H69&lt;12.5, H69/2,
IF(H69&lt;29, 6.25,
IF(H69&lt;50, 6.5,
IF(H69&lt;79, 6.75,
VALUE(SUBSTITUTE(
INDEX(RESUMO!$J$2:$J$100, MATCH(1,
(D69&gt;=RESUMO!$H$2:$H$100)*(D69&lt;=RESUMO!$I$2:$I$100)*(H69&gt;=RESUMO!$K$2:$K$100)*(H69&lt;=RESUMO!$L$2:$L$100),
0)), "R$ ", ""))
))))</f>
        <v>19.3</v>
      </c>
      <c r="K69" s="78">
        <v>0</v>
      </c>
      <c r="L69" s="10">
        <f t="shared" ref="L69:L80" si="13">S69/H69</f>
        <v>7.2969696969695718E-3</v>
      </c>
      <c r="M69" s="7">
        <v>175</v>
      </c>
      <c r="N69" s="48">
        <v>0.17</v>
      </c>
      <c r="O69" s="78" cm="1">
        <f t="array" ref="O69">IF(M69&lt;12.5, 0,
IF(M69&lt;29, 6.25,
IF(M69&lt;50, 6.5,
IF(M69&lt;79, 6.75,
VALUE(SUBSTITUTE(
INDEX(RESUMO!$J$2:$J$100, MATCH(1,
(D69&gt;=RESUMO!$H$2:$H$100)*(D69&lt;=RESUMO!$I$2:$I$100)*(M69&gt;=RESUMO!$K$2:$K$100)*(M69&lt;=RESUMO!$L$2:$L$100),
0)), "R$ ", ""))
))))</f>
        <v>19.3</v>
      </c>
      <c r="P69" s="9">
        <v>0</v>
      </c>
      <c r="Q69" s="10">
        <f t="shared" si="8"/>
        <v>7.1657142857142328E-3</v>
      </c>
      <c r="R69" s="5">
        <f t="shared" si="9"/>
        <v>121.10399999999998</v>
      </c>
      <c r="S69" s="5">
        <f t="shared" si="10"/>
        <v>1.2039999999999793</v>
      </c>
      <c r="T69" s="5">
        <f t="shared" si="11"/>
        <v>121.154</v>
      </c>
      <c r="U69" s="5">
        <f t="shared" si="12"/>
        <v>1.2539999999999907</v>
      </c>
    </row>
    <row r="70" spans="1:21" x14ac:dyDescent="0.25">
      <c r="A70" s="11" t="s">
        <v>33</v>
      </c>
      <c r="B70" s="6" t="s">
        <v>128</v>
      </c>
      <c r="C70" s="9">
        <v>164.48</v>
      </c>
      <c r="D70" s="6">
        <v>3</v>
      </c>
      <c r="E70" s="8">
        <v>0.04</v>
      </c>
      <c r="F70" s="49">
        <v>0</v>
      </c>
      <c r="G70" s="9">
        <v>2</v>
      </c>
      <c r="H70" s="9">
        <v>220.5</v>
      </c>
      <c r="I70" s="48">
        <v>0.11</v>
      </c>
      <c r="J70" s="78" cm="1">
        <f t="array" ref="J70">IF(H70&lt;12.5, H70/2,
IF(H70&lt;29, 6.25,
IF(H70&lt;50, 6.5,
IF(H70&lt;79, 6.75,
VALUE(SUBSTITUTE(
INDEX(RESUMO!$J$2:$J$100, MATCH(1,
(D70&gt;=RESUMO!$H$2:$H$100)*(D70&lt;=RESUMO!$I$2:$I$100)*(H70&gt;=RESUMO!$K$2:$K$100)*(H70&lt;=RESUMO!$L$2:$L$100),
0)), "R$ ", ""))
))))</f>
        <v>24.95</v>
      </c>
      <c r="K70" s="78">
        <v>0</v>
      </c>
      <c r="L70" s="10">
        <f t="shared" si="13"/>
        <v>1.0693877551020943E-3</v>
      </c>
      <c r="M70" s="7">
        <v>235</v>
      </c>
      <c r="N70" s="48">
        <v>0.16</v>
      </c>
      <c r="O70" s="78" cm="1">
        <f t="array" ref="O70">IF(M70&lt;12.5, 0,
IF(M70&lt;29, 6.25,
IF(M70&lt;50, 6.5,
IF(M70&lt;79, 6.75,
VALUE(SUBSTITUTE(
INDEX(RESUMO!$J$2:$J$100, MATCH(1,
(D70&gt;=RESUMO!$H$2:$H$100)*(D70&lt;=RESUMO!$I$2:$I$100)*(M70&gt;=RESUMO!$K$2:$K$100)*(M70&lt;=RESUMO!$L$2:$L$100),
0)), "R$ ", ""))
))))</f>
        <v>24.95</v>
      </c>
      <c r="P70" s="9">
        <v>0</v>
      </c>
      <c r="Q70" s="10">
        <f t="shared" si="8"/>
        <v>5.9182978723406011E-3</v>
      </c>
      <c r="R70" s="5">
        <f t="shared" si="9"/>
        <v>164.7158</v>
      </c>
      <c r="S70" s="5">
        <f t="shared" si="10"/>
        <v>0.23580000000001178</v>
      </c>
      <c r="T70" s="5">
        <f t="shared" si="11"/>
        <v>165.87080000000003</v>
      </c>
      <c r="U70" s="5">
        <f t="shared" si="12"/>
        <v>1.3908000000000413</v>
      </c>
    </row>
    <row r="71" spans="1:21" x14ac:dyDescent="0.25">
      <c r="A71" s="11" t="s">
        <v>3</v>
      </c>
      <c r="B71" s="6" t="s">
        <v>129</v>
      </c>
      <c r="C71" s="9">
        <v>135.97</v>
      </c>
      <c r="D71" s="6">
        <v>1</v>
      </c>
      <c r="E71" s="8">
        <v>0.04</v>
      </c>
      <c r="F71" s="49">
        <v>0</v>
      </c>
      <c r="G71" s="9">
        <v>2</v>
      </c>
      <c r="H71" s="9">
        <v>159</v>
      </c>
      <c r="I71" s="48">
        <v>0.11</v>
      </c>
      <c r="J71" s="78" cm="1">
        <f t="array" ref="J71">IF(H71&lt;12.5, H71/2,
IF(H71&lt;29, 6.25,
IF(H71&lt;50, 6.5,
IF(H71&lt;79, 6.75,
VALUE(SUBSTITUTE(
INDEX(RESUMO!$J$2:$J$100, MATCH(1,
(D71&gt;=RESUMO!$H$2:$H$100)*(D71&lt;=RESUMO!$I$2:$I$100)*(H71&gt;=RESUMO!$K$2:$K$100)*(H71&lt;=RESUMO!$L$2:$L$100),
0)), "R$ ", ""))
))))</f>
        <v>20.2</v>
      </c>
      <c r="K71" s="78">
        <v>0</v>
      </c>
      <c r="L71" s="10">
        <f t="shared" si="13"/>
        <v>-0.1264075471698114</v>
      </c>
      <c r="M71" s="7">
        <v>189</v>
      </c>
      <c r="N71" s="48">
        <v>0.16</v>
      </c>
      <c r="O71" s="78" cm="1">
        <f t="array" ref="O71">IF(M71&lt;12.5, 0,
IF(M71&lt;29, 6.25,
IF(M71&lt;50, 6.5,
IF(M71&lt;79, 6.75,
VALUE(SUBSTITUTE(
INDEX(RESUMO!$J$2:$J$100, MATCH(1,
(D71&gt;=RESUMO!$H$2:$H$100)*(D71&lt;=RESUMO!$I$2:$I$100)*(M71&gt;=RESUMO!$K$2:$K$100)*(M71&lt;=RESUMO!$L$2:$L$100),
0)), "R$ ", ""))
))))</f>
        <v>20.2</v>
      </c>
      <c r="P71" s="9">
        <v>0</v>
      </c>
      <c r="Q71" s="10">
        <f t="shared" si="8"/>
        <v>-1.5073015873015783E-2</v>
      </c>
      <c r="R71" s="5">
        <f t="shared" si="9"/>
        <v>115.87119999999999</v>
      </c>
      <c r="S71" s="5">
        <f t="shared" si="10"/>
        <v>-20.098800000000011</v>
      </c>
      <c r="T71" s="5">
        <f t="shared" si="11"/>
        <v>133.12120000000002</v>
      </c>
      <c r="U71" s="5">
        <f t="shared" si="12"/>
        <v>-2.8487999999999829</v>
      </c>
    </row>
    <row r="72" spans="1:21" x14ac:dyDescent="0.25">
      <c r="A72" s="11" t="s">
        <v>3</v>
      </c>
      <c r="B72" s="6" t="s">
        <v>130</v>
      </c>
      <c r="C72" s="9">
        <v>118.16</v>
      </c>
      <c r="D72" s="6">
        <v>0.3</v>
      </c>
      <c r="E72" s="8">
        <v>0.04</v>
      </c>
      <c r="F72" s="49">
        <v>0</v>
      </c>
      <c r="G72" s="9">
        <v>2</v>
      </c>
      <c r="H72" s="9">
        <v>165</v>
      </c>
      <c r="I72" s="48">
        <v>0.11</v>
      </c>
      <c r="J72" s="78" cm="1">
        <f t="array" ref="J72">IF(H72&lt;12.5, H72/2,
IF(H72&lt;29, 6.25,
IF(H72&lt;50, 6.5,
IF(H72&lt;79, 6.75,
VALUE(SUBSTITUTE(
INDEX(RESUMO!$J$2:$J$100, MATCH(1,
(D72&gt;=RESUMO!$H$2:$H$100)*(D72&lt;=RESUMO!$I$2:$I$100)*(H72&gt;=RESUMO!$K$2:$K$100)*(H72&lt;=RESUMO!$L$2:$L$100),
0)), "R$ ", ""))
))))</f>
        <v>17.95</v>
      </c>
      <c r="K72" s="78">
        <v>0</v>
      </c>
      <c r="L72" s="10">
        <f t="shared" si="13"/>
        <v>3.6446060606060669E-2</v>
      </c>
      <c r="M72" s="7">
        <v>195</v>
      </c>
      <c r="N72" s="48">
        <v>0.16</v>
      </c>
      <c r="O72" s="78" cm="1">
        <f t="array" ref="O72">IF(M72&lt;12.5, 0,
IF(M72&lt;29, 6.25,
IF(M72&lt;50, 6.5,
IF(M72&lt;79, 6.75,
VALUE(SUBSTITUTE(
INDEX(RESUMO!$J$2:$J$100, MATCH(1,
(D72&gt;=RESUMO!$H$2:$H$100)*(D72&lt;=RESUMO!$I$2:$I$100)*(M72&gt;=RESUMO!$K$2:$K$100)*(M72&lt;=RESUMO!$L$2:$L$100),
0)), "R$ ", ""))
))))</f>
        <v>17.95</v>
      </c>
      <c r="P72" s="9">
        <v>0</v>
      </c>
      <c r="Q72" s="10">
        <f t="shared" si="8"/>
        <v>0.11776205128205135</v>
      </c>
      <c r="R72" s="5">
        <f t="shared" si="9"/>
        <v>124.17360000000001</v>
      </c>
      <c r="S72" s="5">
        <f t="shared" si="10"/>
        <v>6.0136000000000109</v>
      </c>
      <c r="T72" s="5">
        <f t="shared" si="11"/>
        <v>141.12360000000001</v>
      </c>
      <c r="U72" s="5">
        <f t="shared" si="12"/>
        <v>22.963600000000014</v>
      </c>
    </row>
    <row r="73" spans="1:21" x14ac:dyDescent="0.25">
      <c r="A73" s="11" t="s">
        <v>3</v>
      </c>
      <c r="B73" s="6" t="s">
        <v>131</v>
      </c>
      <c r="C73" s="9">
        <v>307.64999999999998</v>
      </c>
      <c r="D73" s="6">
        <v>1</v>
      </c>
      <c r="E73" s="8">
        <v>0.04</v>
      </c>
      <c r="F73" s="49">
        <v>0</v>
      </c>
      <c r="G73" s="9">
        <v>2</v>
      </c>
      <c r="H73" s="9">
        <v>387.03</v>
      </c>
      <c r="I73" s="48">
        <v>0.11</v>
      </c>
      <c r="J73" s="78" cm="1">
        <f t="array" ref="J73">IF(H73&lt;12.5, H73/2,
IF(H73&lt;29, 6.25,
IF(H73&lt;50, 6.5,
IF(H73&lt;79, 6.75,
VALUE(SUBSTITUTE(
INDEX(RESUMO!$J$2:$J$100, MATCH(1,
(D73&gt;=RESUMO!$H$2:$H$100)*(D73&lt;=RESUMO!$I$2:$I$100)*(H73&gt;=RESUMO!$K$2:$K$100)*(H73&lt;=RESUMO!$L$2:$L$100),
0)), "R$ ", ""))
))))</f>
        <v>22.45</v>
      </c>
      <c r="K73" s="78">
        <v>0</v>
      </c>
      <c r="L73" s="10">
        <f t="shared" si="13"/>
        <v>5.2985556675193297E-3</v>
      </c>
      <c r="M73" s="7">
        <v>399</v>
      </c>
      <c r="N73" s="48">
        <v>0.16</v>
      </c>
      <c r="O73" s="78" cm="1">
        <f t="array" ref="O73">IF(M73&lt;12.5, 0,
IF(M73&lt;29, 6.25,
IF(M73&lt;50, 6.5,
IF(M73&lt;79, 6.75,
VALUE(SUBSTITUTE(
INDEX(RESUMO!$J$2:$J$100, MATCH(1,
(D73&gt;=RESUMO!$H$2:$H$100)*(D73&lt;=RESUMO!$I$2:$I$100)*(M73&gt;=RESUMO!$K$2:$K$100)*(M73&lt;=RESUMO!$L$2:$L$100),
0)), "R$ ", ""))
))))</f>
        <v>22.45</v>
      </c>
      <c r="P73" s="9">
        <v>0</v>
      </c>
      <c r="Q73" s="10">
        <f t="shared" si="8"/>
        <v>-1.8160401002506217E-2</v>
      </c>
      <c r="R73" s="5">
        <f t="shared" si="9"/>
        <v>309.70069999999998</v>
      </c>
      <c r="S73" s="5">
        <f t="shared" si="10"/>
        <v>2.0507000000000062</v>
      </c>
      <c r="T73" s="5">
        <f t="shared" si="11"/>
        <v>300.404</v>
      </c>
      <c r="U73" s="5">
        <f t="shared" si="12"/>
        <v>-7.2459999999999809</v>
      </c>
    </row>
    <row r="74" spans="1:21" x14ac:dyDescent="0.25">
      <c r="A74" s="11" t="s">
        <v>22</v>
      </c>
      <c r="B74" s="6" t="s">
        <v>132</v>
      </c>
      <c r="C74" s="9">
        <v>229.9</v>
      </c>
      <c r="D74" s="6">
        <v>9</v>
      </c>
      <c r="E74" s="8">
        <v>0.04</v>
      </c>
      <c r="F74" s="49">
        <v>0</v>
      </c>
      <c r="G74" s="9">
        <v>2</v>
      </c>
      <c r="H74" s="9">
        <v>319</v>
      </c>
      <c r="I74" s="48">
        <v>0.11</v>
      </c>
      <c r="J74" s="78" cm="1">
        <f t="array" ref="J74">IF(H74&lt;12.5, H74/2,
IF(H74&lt;29, 6.25,
IF(H74&lt;50, 6.5,
IF(H74&lt;79, 6.75,
VALUE(SUBSTITUTE(
INDEX(RESUMO!$J$2:$J$100, MATCH(1,
(D74&gt;=RESUMO!$H$2:$H$100)*(D74&lt;=RESUMO!$I$2:$I$100)*(H74&gt;=RESUMO!$K$2:$K$100)*(H74&lt;=RESUMO!$L$2:$L$100),
0)), "R$ ", ""))
))))</f>
        <v>44.45</v>
      </c>
      <c r="K74" s="78">
        <v>0</v>
      </c>
      <c r="L74" s="10">
        <f t="shared" si="13"/>
        <v>1.1410658307209275E-3</v>
      </c>
      <c r="M74" s="7">
        <v>339</v>
      </c>
      <c r="N74" s="48">
        <v>0.16</v>
      </c>
      <c r="O74" s="78" cm="1">
        <f t="array" ref="O74">IF(M74&lt;12.5, 0,
IF(M74&lt;29, 6.25,
IF(M74&lt;50, 6.5,
IF(M74&lt;79, 6.75,
VALUE(SUBSTITUTE(
INDEX(RESUMO!$J$2:$J$100, MATCH(1,
(D74&gt;=RESUMO!$H$2:$H$100)*(D74&lt;=RESUMO!$I$2:$I$100)*(M74&gt;=RESUMO!$K$2:$K$100)*(M74&lt;=RESUMO!$L$2:$L$100),
0)), "R$ ", ""))
))))</f>
        <v>44.45</v>
      </c>
      <c r="P74" s="9">
        <v>0</v>
      </c>
      <c r="Q74" s="10">
        <f t="shared" si="8"/>
        <v>3.5811209439527984E-3</v>
      </c>
      <c r="R74" s="5">
        <f t="shared" si="9"/>
        <v>230.26399999999998</v>
      </c>
      <c r="S74" s="5">
        <f t="shared" si="10"/>
        <v>0.3639999999999759</v>
      </c>
      <c r="T74" s="5">
        <f t="shared" si="11"/>
        <v>231.114</v>
      </c>
      <c r="U74" s="5">
        <f t="shared" si="12"/>
        <v>1.2139999999999986</v>
      </c>
    </row>
    <row r="75" spans="1:21" x14ac:dyDescent="0.25">
      <c r="A75" s="11" t="s">
        <v>3</v>
      </c>
      <c r="B75" s="6" t="s">
        <v>277</v>
      </c>
      <c r="C75" s="9">
        <v>419</v>
      </c>
      <c r="D75" s="6">
        <v>0.5</v>
      </c>
      <c r="E75" s="8">
        <v>0.04</v>
      </c>
      <c r="F75" s="49">
        <v>0</v>
      </c>
      <c r="G75" s="9">
        <v>2</v>
      </c>
      <c r="H75" s="9"/>
      <c r="I75" s="48"/>
      <c r="J75" s="78"/>
      <c r="K75" s="78"/>
      <c r="L75" s="10" t="e">
        <f t="shared" ref="L75" si="14">S75/H75</f>
        <v>#DIV/0!</v>
      </c>
      <c r="M75" s="7">
        <v>475</v>
      </c>
      <c r="N75" s="48">
        <v>0.16</v>
      </c>
      <c r="O75" s="78" cm="1">
        <f t="array" ref="O75">IF(M75&lt;12.5, 0,
IF(M75&lt;29, 6.25,
IF(M75&lt;50, 6.5,
IF(M75&lt;79, 6.75,
VALUE(SUBSTITUTE(
INDEX(RESUMO!$J$2:$J$100, MATCH(1,
(D75&gt;=RESUMO!$H$2:$H$100)*(D75&lt;=RESUMO!$I$2:$I$100)*(M75&gt;=RESUMO!$K$2:$K$100)*(M75&lt;=RESUMO!$L$2:$L$100),
0)), "R$ ", ""))
))))</f>
        <v>21.45</v>
      </c>
      <c r="P75" s="9">
        <v>0</v>
      </c>
      <c r="Q75" s="10">
        <f t="shared" ref="Q75" si="15">U75/M75</f>
        <v>-0.12254736842105259</v>
      </c>
      <c r="R75" s="5">
        <f t="shared" ref="R75" si="16">(H75-(H75*I75)-J75-(C75*E75)+K75)</f>
        <v>-16.760000000000002</v>
      </c>
      <c r="S75" s="5">
        <f t="shared" ref="S75" si="17">R75-(C75-F75)</f>
        <v>-435.76</v>
      </c>
      <c r="T75" s="5">
        <f t="shared" ref="T75" si="18">(M75-(M75*N75)-O75-(C75*E75)+P75)</f>
        <v>360.79</v>
      </c>
      <c r="U75" s="5">
        <f t="shared" ref="U75" si="19">T75-(C75-F75)</f>
        <v>-58.20999999999998</v>
      </c>
    </row>
    <row r="76" spans="1:21" x14ac:dyDescent="0.25">
      <c r="A76" s="11" t="s">
        <v>13</v>
      </c>
      <c r="B76" s="6" t="s">
        <v>133</v>
      </c>
      <c r="C76" s="9">
        <v>1399</v>
      </c>
      <c r="D76" s="6">
        <v>23</v>
      </c>
      <c r="E76" s="8">
        <v>0.04</v>
      </c>
      <c r="F76" s="49">
        <v>0</v>
      </c>
      <c r="G76" s="9">
        <v>0</v>
      </c>
      <c r="H76" s="9">
        <v>1846.5</v>
      </c>
      <c r="I76" s="48">
        <v>0.11</v>
      </c>
      <c r="J76" s="78" cm="1">
        <f t="array" ref="J76">IF(H76&lt;12.5, H76/2,
IF(H76&lt;29, 6.25,
IF(H76&lt;50, 6.5,
IF(H76&lt;79, 6.75,
VALUE(SUBSTITUTE(
INDEX(RESUMO!$J$2:$J$100, MATCH(1,
(D76&gt;=RESUMO!$H$2:$H$100)*(D76&lt;=RESUMO!$I$2:$I$100)*(H76&gt;=RESUMO!$K$2:$K$100)*(H76&lt;=RESUMO!$L$2:$L$100),
0)), "R$ ", ""))
))))</f>
        <v>85.95</v>
      </c>
      <c r="K76" s="78">
        <v>0</v>
      </c>
      <c r="L76" s="10">
        <f t="shared" si="13"/>
        <v>5.5496886000541513E-2</v>
      </c>
      <c r="M76" s="7">
        <v>1899</v>
      </c>
      <c r="N76" s="48">
        <v>0.16</v>
      </c>
      <c r="O76" s="78" cm="1">
        <f t="array" ref="O76">IF(M76&lt;12.5, 0,
IF(M76&lt;29, 6.25,
IF(M76&lt;50, 6.5,
IF(M76&lt;79, 6.75,
VALUE(SUBSTITUTE(
INDEX(RESUMO!$J$2:$J$100, MATCH(1,
(D76&gt;=RESUMO!$H$2:$H$100)*(D76&lt;=RESUMO!$I$2:$I$100)*(M76&gt;=RESUMO!$K$2:$K$100)*(M76&lt;=RESUMO!$L$2:$L$100),
0)), "R$ ", ""))
))))</f>
        <v>85.95</v>
      </c>
      <c r="P76" s="9">
        <v>0</v>
      </c>
      <c r="Q76" s="10">
        <f t="shared" si="8"/>
        <v>2.856766719325949E-2</v>
      </c>
      <c r="R76" s="5">
        <f t="shared" si="9"/>
        <v>1501.4749999999999</v>
      </c>
      <c r="S76" s="5">
        <f t="shared" si="10"/>
        <v>102.47499999999991</v>
      </c>
      <c r="T76" s="5">
        <f t="shared" si="11"/>
        <v>1453.2499999999998</v>
      </c>
      <c r="U76" s="5">
        <f t="shared" si="12"/>
        <v>54.249999999999773</v>
      </c>
    </row>
    <row r="77" spans="1:21" x14ac:dyDescent="0.25">
      <c r="A77" s="11" t="s">
        <v>33</v>
      </c>
      <c r="B77" s="6" t="s">
        <v>134</v>
      </c>
      <c r="C77" s="9">
        <v>1146.73</v>
      </c>
      <c r="D77" s="6">
        <v>13</v>
      </c>
      <c r="E77" s="8">
        <v>0.04</v>
      </c>
      <c r="F77" s="49">
        <v>0</v>
      </c>
      <c r="G77" s="9">
        <v>0</v>
      </c>
      <c r="H77" s="9">
        <v>1512.11</v>
      </c>
      <c r="I77" s="48">
        <v>0.11</v>
      </c>
      <c r="J77" s="78" cm="1">
        <f t="array" ref="J77">IF(H77&lt;12.5, H77/2,
IF(H77&lt;29, 6.25,
IF(H77&lt;50, 6.5,
IF(H77&lt;79, 6.75,
VALUE(SUBSTITUTE(
INDEX(RESUMO!$J$2:$J$100, MATCH(1,
(D77&gt;=RESUMO!$H$2:$H$100)*(D77&lt;=RESUMO!$I$2:$I$100)*(H77&gt;=RESUMO!$K$2:$K$100)*(H77&lt;=RESUMO!$L$2:$L$100),
0)), "R$ ", ""))
))))</f>
        <v>65.95</v>
      </c>
      <c r="K77" s="78">
        <v>0</v>
      </c>
      <c r="L77" s="10">
        <f t="shared" si="13"/>
        <v>5.7686742366626548E-2</v>
      </c>
      <c r="M77" s="7">
        <v>1606</v>
      </c>
      <c r="N77" s="48">
        <v>0.16</v>
      </c>
      <c r="O77" s="78" cm="1">
        <f t="array" ref="O77">IF(M77&lt;12.5, 0,
IF(M77&lt;29, 6.25,
IF(M77&lt;50, 6.5,
IF(M77&lt;79, 6.75,
VALUE(SUBSTITUTE(
INDEX(RESUMO!$J$2:$J$100, MATCH(1,
(D77&gt;=RESUMO!$H$2:$H$100)*(D77&lt;=RESUMO!$I$2:$I$100)*(M77&gt;=RESUMO!$K$2:$K$100)*(M77&lt;=RESUMO!$L$2:$L$100),
0)), "R$ ", ""))
))))</f>
        <v>65.95</v>
      </c>
      <c r="P77" s="9">
        <v>0</v>
      </c>
      <c r="Q77" s="10">
        <f t="shared" si="8"/>
        <v>5.6345454545454428E-2</v>
      </c>
      <c r="R77" s="5">
        <f t="shared" si="9"/>
        <v>1233.9586999999997</v>
      </c>
      <c r="S77" s="5">
        <f t="shared" si="10"/>
        <v>87.228699999999662</v>
      </c>
      <c r="T77" s="5">
        <f t="shared" si="11"/>
        <v>1237.2207999999998</v>
      </c>
      <c r="U77" s="5">
        <f t="shared" si="12"/>
        <v>90.490799999999808</v>
      </c>
    </row>
    <row r="78" spans="1:21" x14ac:dyDescent="0.25">
      <c r="A78" s="11" t="s">
        <v>33</v>
      </c>
      <c r="B78" s="6" t="s">
        <v>135</v>
      </c>
      <c r="C78" s="9">
        <v>849.79</v>
      </c>
      <c r="D78" s="6">
        <v>9</v>
      </c>
      <c r="E78" s="8">
        <v>0.04</v>
      </c>
      <c r="F78" s="49">
        <v>0</v>
      </c>
      <c r="G78" s="9">
        <v>0</v>
      </c>
      <c r="H78" s="9">
        <v>999</v>
      </c>
      <c r="I78" s="48">
        <v>0.11</v>
      </c>
      <c r="J78" s="78" cm="1">
        <f t="array" ref="J78">IF(H78&lt;12.5, H78/2,
IF(H78&lt;29, 6.25,
IF(H78&lt;50, 6.5,
IF(H78&lt;79, 6.75,
VALUE(SUBSTITUTE(
INDEX(RESUMO!$J$2:$J$100, MATCH(1,
(D78&gt;=RESUMO!$H$2:$H$100)*(D78&lt;=RESUMO!$I$2:$I$100)*(H78&gt;=RESUMO!$K$2:$K$100)*(H78&lt;=RESUMO!$L$2:$L$100),
0)), "R$ ", ""))
))))</f>
        <v>44.45</v>
      </c>
      <c r="K78" s="78">
        <v>0</v>
      </c>
      <c r="L78" s="10">
        <f t="shared" si="13"/>
        <v>-3.9160760760760707E-2</v>
      </c>
      <c r="M78" s="7">
        <v>1055</v>
      </c>
      <c r="N78" s="48">
        <v>0.16</v>
      </c>
      <c r="O78" s="78" cm="1">
        <f t="array" ref="O78">IF(M78&lt;12.5, 0,
IF(M78&lt;29, 6.25,
IF(M78&lt;50, 6.5,
IF(M78&lt;79, 6.75,
VALUE(SUBSTITUTE(
INDEX(RESUMO!$J$2:$J$100, MATCH(1,
(D78&gt;=RESUMO!$H$2:$H$100)*(D78&lt;=RESUMO!$I$2:$I$100)*(M78&gt;=RESUMO!$K$2:$K$100)*(M78&lt;=RESUMO!$L$2:$L$100),
0)), "R$ ", ""))
))))</f>
        <v>44.45</v>
      </c>
      <c r="P78" s="9">
        <v>0</v>
      </c>
      <c r="Q78" s="10">
        <f t="shared" si="8"/>
        <v>-3.9840379146919347E-2</v>
      </c>
      <c r="R78" s="5">
        <f t="shared" si="9"/>
        <v>810.66840000000002</v>
      </c>
      <c r="S78" s="5">
        <f t="shared" si="10"/>
        <v>-39.121599999999944</v>
      </c>
      <c r="T78" s="5">
        <f t="shared" si="11"/>
        <v>807.75840000000005</v>
      </c>
      <c r="U78" s="5">
        <f t="shared" si="12"/>
        <v>-42.031599999999912</v>
      </c>
    </row>
    <row r="79" spans="1:21" x14ac:dyDescent="0.25">
      <c r="A79" s="11" t="s">
        <v>3</v>
      </c>
      <c r="B79" s="6" t="s">
        <v>278</v>
      </c>
      <c r="C79" s="9">
        <v>860</v>
      </c>
      <c r="D79" s="6">
        <v>1</v>
      </c>
      <c r="E79" s="8">
        <v>0.04</v>
      </c>
      <c r="F79" s="49">
        <v>0</v>
      </c>
      <c r="G79" s="9">
        <v>2</v>
      </c>
      <c r="H79" s="9">
        <v>949</v>
      </c>
      <c r="I79" s="48">
        <v>0.11</v>
      </c>
      <c r="J79" s="78" cm="1">
        <f t="array" ref="J79">IF(H79&lt;12.5, H79/2,
IF(H79&lt;29, 6.25,
IF(H79&lt;50, 6.5,
IF(H79&lt;79, 6.75,
VALUE(SUBSTITUTE(
INDEX(RESUMO!$J$2:$J$100, MATCH(1,
(D79&gt;=RESUMO!$H$2:$H$100)*(D79&lt;=RESUMO!$I$2:$I$100)*(H79&gt;=RESUMO!$K$2:$K$100)*(H79&lt;=RESUMO!$L$2:$L$100),
0)), "R$ ", ""))
))))</f>
        <v>22.45</v>
      </c>
      <c r="K79" s="78">
        <v>0</v>
      </c>
      <c r="L79" s="10">
        <f t="shared" ref="L79" si="20">S79/H79</f>
        <v>-7.6122233930453115E-2</v>
      </c>
      <c r="M79" s="7"/>
      <c r="N79" s="48"/>
      <c r="O79" s="78"/>
      <c r="P79" s="9"/>
      <c r="Q79" s="10" t="e">
        <f t="shared" ref="Q79" si="21">U79/M79</f>
        <v>#DIV/0!</v>
      </c>
      <c r="R79" s="5">
        <f t="shared" ref="R79" si="22">(H79-(H79*I79)-J79-(C79*E79)+K79)</f>
        <v>787.76</v>
      </c>
      <c r="S79" s="5">
        <f t="shared" ref="S79" si="23">R79-(C79-F79)</f>
        <v>-72.240000000000009</v>
      </c>
      <c r="T79" s="5">
        <f t="shared" ref="T79" si="24">(M79-(M79*N79)-O79-(C79*E79)+P79)</f>
        <v>-34.4</v>
      </c>
      <c r="U79" s="5">
        <f t="shared" ref="U79" si="25">T79-(C79-F79)</f>
        <v>-894.4</v>
      </c>
    </row>
    <row r="80" spans="1:21" x14ac:dyDescent="0.25">
      <c r="A80" s="11" t="s">
        <v>7</v>
      </c>
      <c r="B80" s="6" t="s">
        <v>136</v>
      </c>
      <c r="C80" s="9">
        <v>441.9</v>
      </c>
      <c r="D80" s="6">
        <v>13</v>
      </c>
      <c r="E80" s="8">
        <v>0.04</v>
      </c>
      <c r="F80" s="49">
        <v>0</v>
      </c>
      <c r="G80" s="9">
        <v>0</v>
      </c>
      <c r="H80" s="9">
        <v>622.91</v>
      </c>
      <c r="I80" s="48">
        <v>0.11</v>
      </c>
      <c r="J80" s="78" cm="1">
        <f t="array" ref="J80">IF(H80&lt;12.5, H80/2,
IF(H80&lt;29, 6.25,
IF(H80&lt;50, 6.5,
IF(H80&lt;79, 6.75,
VALUE(SUBSTITUTE(
INDEX(RESUMO!$J$2:$J$100, MATCH(1,
(D80&gt;=RESUMO!$H$2:$H$100)*(D80&lt;=RESUMO!$I$2:$I$100)*(H80&gt;=RESUMO!$K$2:$K$100)*(H80&lt;=RESUMO!$L$2:$L$100),
0)), "R$ ", ""))
))))</f>
        <v>65.95</v>
      </c>
      <c r="K80" s="78">
        <v>0</v>
      </c>
      <c r="L80" s="10">
        <f t="shared" si="13"/>
        <v>4.633719156860551E-2</v>
      </c>
      <c r="M80" s="7">
        <v>688.5</v>
      </c>
      <c r="N80" s="48">
        <v>0.16</v>
      </c>
      <c r="O80" s="78" cm="1">
        <f t="array" ref="O80">IF(M80&lt;12.5, 0,
IF(M80&lt;29, 6.25,
IF(M80&lt;50, 6.5,
IF(M80&lt;79, 6.75,
VALUE(SUBSTITUTE(
INDEX(RESUMO!$J$2:$J$100, MATCH(1,
(D80&gt;=RESUMO!$H$2:$H$100)*(D80&lt;=RESUMO!$I$2:$I$100)*(M80&gt;=RESUMO!$K$2:$K$100)*(M80&lt;=RESUMO!$L$2:$L$100),
0)), "R$ ", ""))
))))</f>
        <v>65.95</v>
      </c>
      <c r="P80" s="9">
        <v>0</v>
      </c>
      <c r="Q80" s="10">
        <f t="shared" si="8"/>
        <v>7.6708787218591173E-2</v>
      </c>
      <c r="R80" s="5">
        <f t="shared" si="9"/>
        <v>470.76390000000004</v>
      </c>
      <c r="S80" s="5">
        <f t="shared" si="10"/>
        <v>28.863900000000058</v>
      </c>
      <c r="T80" s="5">
        <f t="shared" si="11"/>
        <v>494.714</v>
      </c>
      <c r="U80" s="5">
        <f t="shared" si="12"/>
        <v>52.814000000000021</v>
      </c>
    </row>
    <row r="81" spans="1:21" x14ac:dyDescent="0.25">
      <c r="A81" s="11" t="s">
        <v>7</v>
      </c>
      <c r="B81" s="6" t="s">
        <v>137</v>
      </c>
      <c r="C81" s="9">
        <v>504.9</v>
      </c>
      <c r="D81" s="6">
        <v>30</v>
      </c>
      <c r="E81" s="8">
        <v>0.04</v>
      </c>
      <c r="F81" s="49">
        <v>0</v>
      </c>
      <c r="G81" s="9">
        <v>0</v>
      </c>
      <c r="H81" s="9">
        <v>695.13</v>
      </c>
      <c r="I81" s="48">
        <v>0.11</v>
      </c>
      <c r="J81" s="78" cm="1">
        <f t="array" ref="J81">IF(H81&lt;12.5, H81/2,
IF(H81&lt;29, 6.25,
IF(H81&lt;50, 6.5,
IF(H81&lt;79, 6.75,
VALUE(SUBSTITUTE(
INDEX(RESUMO!$J$2:$J$100, MATCH(1,
(D81&gt;=RESUMO!$H$2:$H$100)*(D81&lt;=RESUMO!$I$2:$I$100)*(H81&gt;=RESUMO!$K$2:$K$100)*(H81&lt;=RESUMO!$L$2:$L$100),
0)), "R$ ", ""))
))))</f>
        <v>98.95</v>
      </c>
      <c r="K81" s="78">
        <v>0</v>
      </c>
      <c r="L81" s="10">
        <f t="shared" ref="L81:L97" si="26">S81/H81</f>
        <v>-7.7399910808050778E-3</v>
      </c>
      <c r="M81" s="7">
        <v>746.17</v>
      </c>
      <c r="N81" s="48">
        <v>0.16</v>
      </c>
      <c r="O81" s="78" cm="1">
        <f t="array" ref="O81">IF(M81&lt;12.5, 0,
IF(M81&lt;29, 6.25,
IF(M81&lt;50, 6.5,
IF(M81&lt;79, 6.75,
VALUE(SUBSTITUTE(
INDEX(RESUMO!$J$2:$J$100, MATCH(1,
(D81&gt;=RESUMO!$H$2:$H$100)*(D81&lt;=RESUMO!$I$2:$I$100)*(M81&gt;=RESUMO!$K$2:$K$100)*(M81&lt;=RESUMO!$L$2:$L$100),
0)), "R$ ", ""))
))))</f>
        <v>98.95</v>
      </c>
      <c r="P81" s="9">
        <v>0</v>
      </c>
      <c r="Q81" s="10">
        <f t="shared" si="8"/>
        <v>3.6677968827477695E-3</v>
      </c>
      <c r="R81" s="5">
        <f t="shared" si="9"/>
        <v>499.51969999999994</v>
      </c>
      <c r="S81" s="5">
        <f t="shared" si="10"/>
        <v>-5.3803000000000338</v>
      </c>
      <c r="T81" s="5">
        <f t="shared" si="11"/>
        <v>507.63679999999988</v>
      </c>
      <c r="U81" s="5">
        <f t="shared" si="12"/>
        <v>2.7367999999999029</v>
      </c>
    </row>
    <row r="82" spans="1:21" x14ac:dyDescent="0.25">
      <c r="A82" s="11" t="s">
        <v>3</v>
      </c>
      <c r="B82" s="6" t="s">
        <v>396</v>
      </c>
      <c r="C82" s="9"/>
      <c r="D82" s="6">
        <v>0.5</v>
      </c>
      <c r="E82" s="8">
        <v>0.04</v>
      </c>
      <c r="F82" s="49">
        <v>0</v>
      </c>
      <c r="G82" s="9">
        <v>0</v>
      </c>
      <c r="H82" s="9">
        <v>849</v>
      </c>
      <c r="I82" s="48">
        <v>0.11</v>
      </c>
      <c r="J82" s="78" cm="1">
        <f t="array" ref="J82">IF(H82&lt;12.5, H82/2,
IF(H82&lt;29, 6.25,
IF(H82&lt;50, 6.5,
IF(H82&lt;79, 6.75,
VALUE(SUBSTITUTE(
INDEX(RESUMO!$J$2:$J$100, MATCH(1,
(D82&gt;=RESUMO!$H$2:$H$100)*(D82&lt;=RESUMO!$I$2:$I$100)*(H82&gt;=RESUMO!$K$2:$K$100)*(H82&lt;=RESUMO!$L$2:$L$100),
0)), "R$ ", ""))
))))</f>
        <v>21.45</v>
      </c>
      <c r="K82" s="78">
        <v>0</v>
      </c>
      <c r="L82" s="10">
        <f t="shared" ref="L82" si="27">S82/H82</f>
        <v>0.8647349823321554</v>
      </c>
      <c r="M82" s="7"/>
      <c r="N82" s="48"/>
      <c r="O82" s="78"/>
      <c r="P82" s="9"/>
      <c r="Q82" s="10" t="e">
        <f t="shared" ref="Q82" si="28">U82/M82</f>
        <v>#DIV/0!</v>
      </c>
      <c r="R82" s="5">
        <f t="shared" ref="R82" si="29">(H82-(H82*I82)-J82-(C82*E82)+K82)</f>
        <v>734.16</v>
      </c>
      <c r="S82" s="5">
        <f t="shared" ref="S82" si="30">R82-(C82-F82)</f>
        <v>734.16</v>
      </c>
      <c r="T82" s="5">
        <f t="shared" ref="T82" si="31">(M82-(M82*N82)-O82-(C82*E82)+P82)</f>
        <v>0</v>
      </c>
      <c r="U82" s="5">
        <f t="shared" ref="U82" si="32">T82-(C82-F82)</f>
        <v>0</v>
      </c>
    </row>
    <row r="83" spans="1:21" x14ac:dyDescent="0.25">
      <c r="A83" s="11" t="s">
        <v>9</v>
      </c>
      <c r="B83" s="6" t="s">
        <v>138</v>
      </c>
      <c r="C83" s="9">
        <v>1259.9000000000001</v>
      </c>
      <c r="D83" s="6">
        <v>17</v>
      </c>
      <c r="E83" s="8">
        <v>0.04</v>
      </c>
      <c r="F83" s="49">
        <v>0</v>
      </c>
      <c r="G83" s="9">
        <v>2</v>
      </c>
      <c r="H83" s="9">
        <v>1649</v>
      </c>
      <c r="I83" s="48">
        <v>0.11</v>
      </c>
      <c r="J83" s="78" cm="1">
        <f t="array" ref="J83">IF(H83&lt;12.5, H83/2,
IF(H83&lt;29, 6.25,
IF(H83&lt;50, 6.5,
IF(H83&lt;79, 6.75,
VALUE(SUBSTITUTE(
INDEX(RESUMO!$J$2:$J$100, MATCH(1,
(D83&gt;=RESUMO!$H$2:$H$100)*(D83&lt;=RESUMO!$I$2:$I$100)*(H83&gt;=RESUMO!$K$2:$K$100)*(H83&lt;=RESUMO!$L$2:$L$100),
0)), "R$ ", ""))
))))</f>
        <v>73.45</v>
      </c>
      <c r="K83" s="78">
        <v>0</v>
      </c>
      <c r="L83" s="10">
        <f t="shared" si="26"/>
        <v>5.0857489387507462E-2</v>
      </c>
      <c r="M83" s="7">
        <v>1755</v>
      </c>
      <c r="N83" s="48">
        <v>0.16</v>
      </c>
      <c r="O83" s="78" cm="1">
        <f t="array" ref="O83">IF(M83&lt;12.5, 0,
IF(M83&lt;29, 6.25,
IF(M83&lt;50, 6.5,
IF(M83&lt;79, 6.75,
VALUE(SUBSTITUTE(
INDEX(RESUMO!$J$2:$J$100, MATCH(1,
(D83&gt;=RESUMO!$H$2:$H$100)*(D83&lt;=RESUMO!$I$2:$I$100)*(M83&gt;=RESUMO!$K$2:$K$100)*(M83&lt;=RESUMO!$L$2:$L$100),
0)), "R$ ", ""))
))))</f>
        <v>73.45</v>
      </c>
      <c r="P83" s="9">
        <v>0</v>
      </c>
      <c r="Q83" s="10">
        <f t="shared" si="8"/>
        <v>5.1540740740740713E-2</v>
      </c>
      <c r="R83" s="5">
        <f t="shared" si="9"/>
        <v>1343.7639999999999</v>
      </c>
      <c r="S83" s="5">
        <f t="shared" si="10"/>
        <v>83.863999999999805</v>
      </c>
      <c r="T83" s="5">
        <f t="shared" si="11"/>
        <v>1350.354</v>
      </c>
      <c r="U83" s="5">
        <f t="shared" si="12"/>
        <v>90.453999999999951</v>
      </c>
    </row>
    <row r="84" spans="1:21" x14ac:dyDescent="0.25">
      <c r="A84" s="11" t="s">
        <v>3</v>
      </c>
      <c r="B84" s="6" t="s">
        <v>139</v>
      </c>
      <c r="C84" s="9">
        <v>526.92999999999995</v>
      </c>
      <c r="D84" s="6">
        <v>1</v>
      </c>
      <c r="E84" s="8">
        <v>0.04</v>
      </c>
      <c r="F84" s="49">
        <v>0</v>
      </c>
      <c r="G84" s="9">
        <v>2</v>
      </c>
      <c r="H84" s="9"/>
      <c r="I84" s="48"/>
      <c r="J84" s="78"/>
      <c r="K84" s="78"/>
      <c r="L84" s="10" t="e">
        <f t="shared" si="26"/>
        <v>#DIV/0!</v>
      </c>
      <c r="M84" s="7">
        <v>625</v>
      </c>
      <c r="N84" s="48">
        <v>0.16</v>
      </c>
      <c r="O84" s="78" cm="1">
        <f t="array" ref="O84">IF(M84&lt;12.5, 0,
IF(M84&lt;29, 6.25,
IF(M84&lt;50, 6.5,
IF(M84&lt;79, 6.75,
VALUE(SUBSTITUTE(
INDEX(RESUMO!$J$2:$J$100, MATCH(1,
(D84&gt;=RESUMO!$H$2:$H$100)*(D84&lt;=RESUMO!$I$2:$I$100)*(M84&gt;=RESUMO!$K$2:$K$100)*(M84&lt;=RESUMO!$L$2:$L$100),
0)), "R$ ", ""))
))))</f>
        <v>22.45</v>
      </c>
      <c r="P84" s="9">
        <v>0</v>
      </c>
      <c r="Q84" s="10">
        <f t="shared" si="8"/>
        <v>-7.2731519999999911E-2</v>
      </c>
      <c r="R84" s="5">
        <f t="shared" si="9"/>
        <v>-21.077199999999998</v>
      </c>
      <c r="S84" s="5">
        <f t="shared" si="10"/>
        <v>-548.0071999999999</v>
      </c>
      <c r="T84" s="5">
        <f t="shared" si="11"/>
        <v>481.47280000000001</v>
      </c>
      <c r="U84" s="5">
        <f t="shared" si="12"/>
        <v>-45.457199999999943</v>
      </c>
    </row>
    <row r="85" spans="1:21" x14ac:dyDescent="0.25">
      <c r="A85" s="11" t="s">
        <v>25</v>
      </c>
      <c r="B85" s="6" t="s">
        <v>140</v>
      </c>
      <c r="C85" s="9">
        <v>132.49</v>
      </c>
      <c r="D85" s="6">
        <v>9</v>
      </c>
      <c r="E85" s="8">
        <v>0.04</v>
      </c>
      <c r="F85" s="49">
        <v>0</v>
      </c>
      <c r="G85" s="9">
        <v>2</v>
      </c>
      <c r="H85" s="9">
        <v>205</v>
      </c>
      <c r="I85" s="48">
        <v>0.11</v>
      </c>
      <c r="J85" s="78" cm="1">
        <f t="array" ref="J85">IF(H85&lt;12.5, H85/2,
IF(H85&lt;29, 6.25,
IF(H85&lt;50, 6.5,
IF(H85&lt;79, 6.75,
VALUE(SUBSTITUTE(
INDEX(RESUMO!$J$2:$J$100, MATCH(1,
(D85&gt;=RESUMO!$H$2:$H$100)*(D85&lt;=RESUMO!$I$2:$I$100)*(H85&gt;=RESUMO!$K$2:$K$100)*(H85&lt;=RESUMO!$L$2:$L$100),
0)), "R$ ", ""))
))))</f>
        <v>44.45</v>
      </c>
      <c r="K85" s="78">
        <v>0</v>
      </c>
      <c r="L85" s="10">
        <f t="shared" si="26"/>
        <v>1.0263414634145991E-3</v>
      </c>
      <c r="M85" s="7">
        <v>219</v>
      </c>
      <c r="N85" s="48">
        <v>0.16</v>
      </c>
      <c r="O85" s="78" cm="1">
        <f t="array" ref="O85">IF(M85&lt;12.5, 0,
IF(M85&lt;29, 6.25,
IF(M85&lt;50, 6.5,
IF(M85&lt;79, 6.75,
VALUE(SUBSTITUTE(
INDEX(RESUMO!$J$2:$J$100, MATCH(1,
(D85&gt;=RESUMO!$H$2:$H$100)*(D85&lt;=RESUMO!$I$2:$I$100)*(M85&gt;=RESUMO!$K$2:$K$100)*(M85&lt;=RESUMO!$L$2:$L$100),
0)), "R$ ", ""))
))))</f>
        <v>44.45</v>
      </c>
      <c r="P85" s="9">
        <v>0</v>
      </c>
      <c r="Q85" s="10">
        <f t="shared" si="8"/>
        <v>7.8557077625570036E-3</v>
      </c>
      <c r="R85" s="5">
        <f t="shared" si="9"/>
        <v>132.7004</v>
      </c>
      <c r="S85" s="5">
        <f t="shared" si="10"/>
        <v>0.21039999999999281</v>
      </c>
      <c r="T85" s="5">
        <f t="shared" si="11"/>
        <v>134.21039999999999</v>
      </c>
      <c r="U85" s="5">
        <f t="shared" si="12"/>
        <v>1.7203999999999837</v>
      </c>
    </row>
    <row r="86" spans="1:21" x14ac:dyDescent="0.25">
      <c r="A86" s="11" t="s">
        <v>25</v>
      </c>
      <c r="B86" s="6" t="s">
        <v>141</v>
      </c>
      <c r="C86" s="9">
        <v>300.43</v>
      </c>
      <c r="D86" s="6">
        <v>9</v>
      </c>
      <c r="E86" s="8">
        <v>0.04</v>
      </c>
      <c r="F86" s="49">
        <v>0</v>
      </c>
      <c r="G86" s="9">
        <v>2</v>
      </c>
      <c r="H86" s="9">
        <v>436</v>
      </c>
      <c r="I86" s="48">
        <v>0.13</v>
      </c>
      <c r="J86" s="78" cm="1">
        <f t="array" ref="J86">IF(H86&lt;12.5, H86/2,
IF(H86&lt;29, 6.25,
IF(H86&lt;50, 6.5,
IF(H86&lt;79, 6.75,
VALUE(SUBSTITUTE(
INDEX(RESUMO!$J$2:$J$100, MATCH(1,
(D86&gt;=RESUMO!$H$2:$H$100)*(D86&lt;=RESUMO!$I$2:$I$100)*(H86&gt;=RESUMO!$K$2:$K$100)*(H86&lt;=RESUMO!$L$2:$L$100),
0)), "R$ ", ""))
))))</f>
        <v>44.45</v>
      </c>
      <c r="K86" s="78">
        <v>0</v>
      </c>
      <c r="L86" s="10">
        <f t="shared" si="26"/>
        <v>5.1428440366972465E-2</v>
      </c>
      <c r="M86" s="7">
        <v>465</v>
      </c>
      <c r="N86" s="48">
        <v>0.18</v>
      </c>
      <c r="O86" s="78" cm="1">
        <f t="array" ref="O86">IF(M86&lt;12.5, 0,
IF(M86&lt;29, 6.25,
IF(M86&lt;50, 6.5,
IF(M86&lt;79, 6.75,
VALUE(SUBSTITUTE(
INDEX(RESUMO!$J$2:$J$100, MATCH(1,
(D86&gt;=RESUMO!$H$2:$H$100)*(D86&lt;=RESUMO!$I$2:$I$100)*(M86&gt;=RESUMO!$K$2:$K$100)*(M86&lt;=RESUMO!$L$2:$L$100),
0)), "R$ ", ""))
))))</f>
        <v>44.45</v>
      </c>
      <c r="P86" s="9">
        <v>0</v>
      </c>
      <c r="Q86" s="10">
        <f t="shared" si="8"/>
        <v>5.2479139784946269E-2</v>
      </c>
      <c r="R86" s="5">
        <f t="shared" si="9"/>
        <v>322.8528</v>
      </c>
      <c r="S86" s="5">
        <f t="shared" si="10"/>
        <v>22.422799999999995</v>
      </c>
      <c r="T86" s="5">
        <f t="shared" si="11"/>
        <v>324.83280000000002</v>
      </c>
      <c r="U86" s="5">
        <f t="shared" si="12"/>
        <v>24.402800000000013</v>
      </c>
    </row>
    <row r="87" spans="1:21" x14ac:dyDescent="0.25">
      <c r="A87" s="11" t="s">
        <v>3</v>
      </c>
      <c r="B87" s="6" t="s">
        <v>142</v>
      </c>
      <c r="C87" s="9">
        <v>147.03</v>
      </c>
      <c r="D87" s="6">
        <v>1</v>
      </c>
      <c r="E87" s="8">
        <v>0.04</v>
      </c>
      <c r="F87" s="49">
        <v>0</v>
      </c>
      <c r="G87" s="9">
        <v>2</v>
      </c>
      <c r="H87" s="9">
        <v>211</v>
      </c>
      <c r="I87" s="48">
        <v>0.115</v>
      </c>
      <c r="J87" s="78" cm="1">
        <f t="array" ref="J87">IF(H87&lt;12.5, H87/2,
IF(H87&lt;29, 6.25,
IF(H87&lt;50, 6.5,
IF(H87&lt;79, 6.75,
VALUE(SUBSTITUTE(
INDEX(RESUMO!$J$2:$J$100, MATCH(1,
(D87&gt;=RESUMO!$H$2:$H$100)*(D87&lt;=RESUMO!$I$2:$I$100)*(H87&gt;=RESUMO!$K$2:$K$100)*(H87&lt;=RESUMO!$L$2:$L$100),
0)), "R$ ", ""))
))))</f>
        <v>22.45</v>
      </c>
      <c r="K87" s="78">
        <v>0</v>
      </c>
      <c r="L87" s="10">
        <f t="shared" si="26"/>
        <v>5.3904265402843682E-2</v>
      </c>
      <c r="M87" s="7">
        <v>225</v>
      </c>
      <c r="N87" s="48">
        <v>0.16500000000000001</v>
      </c>
      <c r="O87" s="78" cm="1">
        <f t="array" ref="O87">IF(M87&lt;12.5, 0,
IF(M87&lt;29, 6.25,
IF(M87&lt;50, 6.5,
IF(M87&lt;79, 6.75,
VALUE(SUBSTITUTE(
INDEX(RESUMO!$J$2:$J$100, MATCH(1,
(D87&gt;=RESUMO!$H$2:$H$100)*(D87&lt;=RESUMO!$I$2:$I$100)*(M87&gt;=RESUMO!$K$2:$K$100)*(M87&lt;=RESUMO!$L$2:$L$100),
0)), "R$ ", ""))
))))</f>
        <v>22.45</v>
      </c>
      <c r="P87" s="9">
        <v>0</v>
      </c>
      <c r="Q87" s="10">
        <f t="shared" si="8"/>
        <v>5.5616888888888903E-2</v>
      </c>
      <c r="R87" s="5">
        <f t="shared" si="9"/>
        <v>158.40380000000002</v>
      </c>
      <c r="S87" s="5">
        <f t="shared" si="10"/>
        <v>11.373800000000017</v>
      </c>
      <c r="T87" s="5">
        <f t="shared" si="11"/>
        <v>159.5438</v>
      </c>
      <c r="U87" s="5">
        <f t="shared" si="12"/>
        <v>12.513800000000003</v>
      </c>
    </row>
    <row r="88" spans="1:21" x14ac:dyDescent="0.25">
      <c r="A88" s="11" t="s">
        <v>25</v>
      </c>
      <c r="B88" s="6" t="s">
        <v>144</v>
      </c>
      <c r="C88" s="9">
        <v>200.15</v>
      </c>
      <c r="D88" s="6">
        <v>5</v>
      </c>
      <c r="E88" s="8">
        <v>0.04</v>
      </c>
      <c r="F88" s="49">
        <v>0</v>
      </c>
      <c r="G88" s="9">
        <v>2</v>
      </c>
      <c r="H88" s="9">
        <v>266</v>
      </c>
      <c r="I88" s="48">
        <v>0.11</v>
      </c>
      <c r="J88" s="78" cm="1">
        <f t="array" ref="J88">IF(H88&lt;12.5, H88/2,
IF(H88&lt;29, 6.25,
IF(H88&lt;50, 6.5,
IF(H88&lt;79, 6.75,
VALUE(SUBSTITUTE(
INDEX(RESUMO!$J$2:$J$100, MATCH(1,
(D88&gt;=RESUMO!$H$2:$H$100)*(D88&lt;=RESUMO!$I$2:$I$100)*(H88&gt;=RESUMO!$K$2:$K$100)*(H88&lt;=RESUMO!$L$2:$L$100),
0)), "R$ ", ""))
))))</f>
        <v>28.45</v>
      </c>
      <c r="K88" s="78">
        <v>0</v>
      </c>
      <c r="L88" s="10">
        <f t="shared" si="26"/>
        <v>5.0375939849629531E-4</v>
      </c>
      <c r="M88" s="7">
        <v>285</v>
      </c>
      <c r="N88" s="48">
        <v>0.16</v>
      </c>
      <c r="O88" s="78" cm="1">
        <f t="array" ref="O88">IF(M88&lt;12.5, 0,
IF(M88&lt;29, 6.25,
IF(M88&lt;50, 6.5,
IF(M88&lt;79, 6.75,
VALUE(SUBSTITUTE(
INDEX(RESUMO!$J$2:$J$100, MATCH(1,
(D88&gt;=RESUMO!$H$2:$H$100)*(D88&lt;=RESUMO!$I$2:$I$100)*(M88&gt;=RESUMO!$K$2:$K$100)*(M88&lt;=RESUMO!$L$2:$L$100),
0)), "R$ ", ""))
))))</f>
        <v>28.45</v>
      </c>
      <c r="P88" s="9">
        <v>0</v>
      </c>
      <c r="Q88" s="10">
        <f t="shared" si="8"/>
        <v>9.8035087719298645E-3</v>
      </c>
      <c r="R88" s="5">
        <f t="shared" si="9"/>
        <v>200.28400000000002</v>
      </c>
      <c r="S88" s="5">
        <f t="shared" si="10"/>
        <v>0.13400000000001455</v>
      </c>
      <c r="T88" s="5">
        <f t="shared" si="11"/>
        <v>202.94400000000002</v>
      </c>
      <c r="U88" s="5">
        <f t="shared" si="12"/>
        <v>2.7940000000000111</v>
      </c>
    </row>
    <row r="89" spans="1:21" x14ac:dyDescent="0.25">
      <c r="A89" s="11" t="s">
        <v>41</v>
      </c>
      <c r="B89" s="6" t="s">
        <v>145</v>
      </c>
      <c r="C89" s="9">
        <v>0</v>
      </c>
      <c r="D89" s="6">
        <v>0.3</v>
      </c>
      <c r="E89" s="8" t="s">
        <v>311</v>
      </c>
      <c r="F89" s="49">
        <v>0</v>
      </c>
      <c r="G89" s="9">
        <v>2</v>
      </c>
      <c r="H89" s="9">
        <v>19.899999999999999</v>
      </c>
      <c r="I89" s="48">
        <v>0.12</v>
      </c>
      <c r="J89" s="78" cm="1">
        <f t="array" ref="J89">IF(H89&lt;12.5, H89/2,
IF(H89&lt;29, 6.25,
IF(H89&lt;50, 6.5,
IF(H89&lt;79, 6.75,
VALUE(SUBSTITUTE(
INDEX(RESUMO!$J$2:$J$100, MATCH(1,
(D89&gt;=RESUMO!$H$2:$H$100)*(D89&lt;=RESUMO!$I$2:$I$100)*(H89&gt;=RESUMO!$K$2:$K$100)*(H89&lt;=RESUMO!$L$2:$L$100),
0)), "R$ ", ""))
))))</f>
        <v>6.25</v>
      </c>
      <c r="K89" s="78">
        <v>0</v>
      </c>
      <c r="L89" s="10" t="e">
        <f t="shared" si="26"/>
        <v>#VALUE!</v>
      </c>
      <c r="M89" s="7"/>
      <c r="N89" s="48"/>
      <c r="O89" s="78" cm="1">
        <f t="array" ref="O89">IF(M89&lt;12.5, 0,
IF(M89&lt;29, 6.25,
IF(M89&lt;50, 6.5,
IF(M89&lt;79, 6.75,
VALUE(SUBSTITUTE(
INDEX(RESUMO!$J$2:$J$100, MATCH(1,
(D89&gt;=RESUMO!$H$2:$H$100)*(D89&lt;=RESUMO!$I$2:$I$100)*(M89&gt;=RESUMO!$K$2:$K$100)*(M89&lt;=RESUMO!$L$2:$L$100),
0)), "R$ ", ""))
))))</f>
        <v>0</v>
      </c>
      <c r="P89" s="9"/>
      <c r="Q89" s="10" t="e">
        <f t="shared" si="8"/>
        <v>#VALUE!</v>
      </c>
      <c r="R89" s="5" t="e">
        <f t="shared" si="9"/>
        <v>#VALUE!</v>
      </c>
      <c r="S89" s="5" t="e">
        <f t="shared" si="10"/>
        <v>#VALUE!</v>
      </c>
      <c r="T89" s="5" t="e">
        <f t="shared" si="11"/>
        <v>#VALUE!</v>
      </c>
      <c r="U89" s="5" t="e">
        <f t="shared" si="12"/>
        <v>#VALUE!</v>
      </c>
    </row>
    <row r="90" spans="1:21" x14ac:dyDescent="0.25">
      <c r="A90" s="11" t="s">
        <v>41</v>
      </c>
      <c r="B90" s="6" t="s">
        <v>146</v>
      </c>
      <c r="C90" s="9">
        <v>0</v>
      </c>
      <c r="D90" s="6">
        <v>2</v>
      </c>
      <c r="E90" s="8">
        <v>0.04</v>
      </c>
      <c r="F90" s="49">
        <v>0</v>
      </c>
      <c r="G90" s="9">
        <v>2</v>
      </c>
      <c r="H90" s="9">
        <v>549.9</v>
      </c>
      <c r="I90" s="48">
        <v>0.14000000000000001</v>
      </c>
      <c r="J90" s="78" cm="1">
        <f t="array" ref="J90">IF(H90&lt;12.5, H90/2,
IF(H90&lt;29, 6.25,
IF(H90&lt;50, 6.5,
IF(H90&lt;79, 6.75,
VALUE(SUBSTITUTE(
INDEX(RESUMO!$J$2:$J$100, MATCH(1,
(D90&gt;=RESUMO!$H$2:$H$100)*(D90&lt;=RESUMO!$I$2:$I$100)*(H90&gt;=RESUMO!$K$2:$K$100)*(H90&lt;=RESUMO!$L$2:$L$100),
0)), "R$ ", ""))
))))</f>
        <v>23.45</v>
      </c>
      <c r="K90" s="78">
        <v>0</v>
      </c>
      <c r="L90" s="10">
        <f t="shared" si="26"/>
        <v>0.81735588288779781</v>
      </c>
      <c r="M90" s="7"/>
      <c r="N90" s="48"/>
      <c r="O90" s="78" cm="1">
        <f t="array" ref="O90">IF(M90&lt;12.5, 0,
IF(M90&lt;29, 6.25,
IF(M90&lt;50, 6.5,
IF(M90&lt;79, 6.75,
VALUE(SUBSTITUTE(
INDEX(RESUMO!$J$2:$J$100, MATCH(1,
(D90&gt;=RESUMO!$H$2:$H$100)*(D90&lt;=RESUMO!$I$2:$I$100)*(M90&gt;=RESUMO!$K$2:$K$100)*(M90&lt;=RESUMO!$L$2:$L$100),
0)), "R$ ", ""))
))))</f>
        <v>0</v>
      </c>
      <c r="P90" s="9"/>
      <c r="Q90" s="10" t="e">
        <f t="shared" si="8"/>
        <v>#DIV/0!</v>
      </c>
      <c r="R90" s="5">
        <f t="shared" si="9"/>
        <v>449.464</v>
      </c>
      <c r="S90" s="5">
        <f t="shared" si="10"/>
        <v>449.464</v>
      </c>
      <c r="T90" s="5">
        <f t="shared" si="11"/>
        <v>0</v>
      </c>
      <c r="U90" s="5">
        <f t="shared" si="12"/>
        <v>0</v>
      </c>
    </row>
    <row r="91" spans="1:21" x14ac:dyDescent="0.25">
      <c r="A91" s="11" t="s">
        <v>41</v>
      </c>
      <c r="B91" s="61" t="s">
        <v>147</v>
      </c>
      <c r="C91" s="9">
        <v>0</v>
      </c>
      <c r="D91" s="6"/>
      <c r="E91" s="8">
        <v>0.04</v>
      </c>
      <c r="F91" s="49">
        <v>0</v>
      </c>
      <c r="G91" s="9"/>
      <c r="H91" s="9">
        <v>159.9</v>
      </c>
      <c r="I91" s="48">
        <v>0.115</v>
      </c>
      <c r="J91" s="78" cm="1">
        <f t="array" ref="J91">IF(H91&lt;12.5, H91/2,
IF(H91&lt;29, 6.25,
IF(H91&lt;50, 6.5,
IF(H91&lt;79, 6.75,
VALUE(SUBSTITUTE(
INDEX(RESUMO!$J$2:$J$100, MATCH(1,
(D91&gt;=RESUMO!$H$2:$H$100)*(D91&lt;=RESUMO!$I$2:$I$100)*(H91&gt;=RESUMO!$K$2:$K$100)*(H91&lt;=RESUMO!$L$2:$L$100),
0)), "R$ ", ""))
))))</f>
        <v>17.95</v>
      </c>
      <c r="K91" s="78">
        <v>0</v>
      </c>
      <c r="L91" s="10">
        <f t="shared" si="26"/>
        <v>0.77274233896185118</v>
      </c>
      <c r="M91" s="7"/>
      <c r="N91" s="48"/>
      <c r="O91" s="78" cm="1">
        <f t="array" ref="O91">IF(M91&lt;12.5, 0,
IF(M91&lt;29, 6.25,
IF(M91&lt;50, 6.5,
IF(M91&lt;79, 6.75,
VALUE(SUBSTITUTE(
INDEX(RESUMO!$J$2:$J$100, MATCH(1,
(D91&gt;=RESUMO!$H$2:$H$100)*(D91&lt;=RESUMO!$I$2:$I$100)*(M91&gt;=RESUMO!$K$2:$K$100)*(M91&lt;=RESUMO!$L$2:$L$100),
0)), "R$ ", ""))
))))</f>
        <v>0</v>
      </c>
      <c r="P91" s="9"/>
      <c r="Q91" s="10" t="e">
        <f t="shared" si="8"/>
        <v>#DIV/0!</v>
      </c>
      <c r="R91" s="5">
        <f t="shared" si="9"/>
        <v>123.56150000000001</v>
      </c>
      <c r="S91" s="5">
        <f t="shared" si="10"/>
        <v>123.56150000000001</v>
      </c>
      <c r="T91" s="5">
        <f t="shared" si="11"/>
        <v>0</v>
      </c>
      <c r="U91" s="5">
        <f t="shared" si="12"/>
        <v>0</v>
      </c>
    </row>
    <row r="92" spans="1:21" x14ac:dyDescent="0.25">
      <c r="A92" s="11" t="s">
        <v>41</v>
      </c>
      <c r="B92" s="61" t="s">
        <v>148</v>
      </c>
      <c r="C92" s="9">
        <v>0</v>
      </c>
      <c r="D92" s="6"/>
      <c r="E92" s="8">
        <v>0.04</v>
      </c>
      <c r="F92" s="49">
        <v>0</v>
      </c>
      <c r="G92" s="9"/>
      <c r="H92" s="9">
        <v>144.9</v>
      </c>
      <c r="I92" s="48">
        <v>0.115</v>
      </c>
      <c r="J92" s="78" cm="1">
        <f t="array" ref="J92">IF(H92&lt;12.5, H92/2,
IF(H92&lt;29, 6.25,
IF(H92&lt;50, 6.5,
IF(H92&lt;79, 6.75,
VALUE(SUBSTITUTE(
INDEX(RESUMO!$J$2:$J$100, MATCH(1,
(D92&gt;=RESUMO!$H$2:$H$100)*(D92&lt;=RESUMO!$I$2:$I$100)*(H92&gt;=RESUMO!$K$2:$K$100)*(H92&lt;=RESUMO!$L$2:$L$100),
0)), "R$ ", ""))
))))</f>
        <v>15.96</v>
      </c>
      <c r="K92" s="78">
        <v>0</v>
      </c>
      <c r="L92" s="10">
        <f t="shared" si="26"/>
        <v>0.77485507246376806</v>
      </c>
      <c r="M92" s="7"/>
      <c r="N92" s="48"/>
      <c r="O92" s="78" cm="1">
        <f t="array" ref="O92">IF(M92&lt;12.5, 0,
IF(M92&lt;29, 6.25,
IF(M92&lt;50, 6.5,
IF(M92&lt;79, 6.75,
VALUE(SUBSTITUTE(
INDEX(RESUMO!$J$2:$J$100, MATCH(1,
(D92&gt;=RESUMO!$H$2:$H$100)*(D92&lt;=RESUMO!$I$2:$I$100)*(M92&gt;=RESUMO!$K$2:$K$100)*(M92&lt;=RESUMO!$L$2:$L$100),
0)), "R$ ", ""))
))))</f>
        <v>0</v>
      </c>
      <c r="P92" s="9"/>
      <c r="Q92" s="10" t="e">
        <f t="shared" si="8"/>
        <v>#DIV/0!</v>
      </c>
      <c r="R92" s="5">
        <f t="shared" si="9"/>
        <v>112.2765</v>
      </c>
      <c r="S92" s="5">
        <f t="shared" si="10"/>
        <v>112.2765</v>
      </c>
      <c r="T92" s="5">
        <f t="shared" si="11"/>
        <v>0</v>
      </c>
      <c r="U92" s="5">
        <f t="shared" si="12"/>
        <v>0</v>
      </c>
    </row>
    <row r="93" spans="1:21" x14ac:dyDescent="0.25">
      <c r="A93" s="11" t="s">
        <v>41</v>
      </c>
      <c r="B93" s="61" t="s">
        <v>149</v>
      </c>
      <c r="C93" s="9">
        <v>0</v>
      </c>
      <c r="D93" s="6"/>
      <c r="E93" s="8">
        <v>0.04</v>
      </c>
      <c r="F93" s="49">
        <v>0</v>
      </c>
      <c r="G93" s="9"/>
      <c r="H93" s="9">
        <v>199.9</v>
      </c>
      <c r="I93" s="48">
        <v>0.115</v>
      </c>
      <c r="J93" s="78" cm="1">
        <f t="array" ref="J93">IF(H93&lt;12.5, H93/2,
IF(H93&lt;29, 6.25,
IF(H93&lt;50, 6.5,
IF(H93&lt;79, 6.75,
VALUE(SUBSTITUTE(
INDEX(RESUMO!$J$2:$J$100, MATCH(1,
(D93&gt;=RESUMO!$H$2:$H$100)*(D93&lt;=RESUMO!$I$2:$I$100)*(H93&gt;=RESUMO!$K$2:$K$100)*(H93&lt;=RESUMO!$L$2:$L$100),
0)), "R$ ", ""))
))))</f>
        <v>17.95</v>
      </c>
      <c r="K93" s="78">
        <v>0</v>
      </c>
      <c r="L93" s="10">
        <f t="shared" si="26"/>
        <v>0.79520510255127563</v>
      </c>
      <c r="M93" s="7"/>
      <c r="N93" s="48"/>
      <c r="O93" s="78" cm="1">
        <f t="array" ref="O93">IF(M93&lt;12.5, 0,
IF(M93&lt;29, 6.25,
IF(M93&lt;50, 6.5,
IF(M93&lt;79, 6.75,
VALUE(SUBSTITUTE(
INDEX(RESUMO!$J$2:$J$100, MATCH(1,
(D93&gt;=RESUMO!$H$2:$H$100)*(D93&lt;=RESUMO!$I$2:$I$100)*(M93&gt;=RESUMO!$K$2:$K$100)*(M93&lt;=RESUMO!$L$2:$L$100),
0)), "R$ ", ""))
))))</f>
        <v>0</v>
      </c>
      <c r="P93" s="9"/>
      <c r="Q93" s="10" t="e">
        <f t="shared" si="8"/>
        <v>#DIV/0!</v>
      </c>
      <c r="R93" s="5">
        <f t="shared" si="9"/>
        <v>158.9615</v>
      </c>
      <c r="S93" s="5">
        <f t="shared" si="10"/>
        <v>158.9615</v>
      </c>
      <c r="T93" s="5">
        <f t="shared" si="11"/>
        <v>0</v>
      </c>
      <c r="U93" s="5">
        <f t="shared" si="12"/>
        <v>0</v>
      </c>
    </row>
    <row r="94" spans="1:21" x14ac:dyDescent="0.25">
      <c r="A94" s="11" t="s">
        <v>41</v>
      </c>
      <c r="B94" s="6" t="s">
        <v>150</v>
      </c>
      <c r="C94" s="9">
        <v>0</v>
      </c>
      <c r="D94" s="6">
        <v>1</v>
      </c>
      <c r="E94" s="8">
        <v>0.04</v>
      </c>
      <c r="F94" s="49">
        <v>0</v>
      </c>
      <c r="G94" s="9"/>
      <c r="H94" s="9">
        <v>199.9</v>
      </c>
      <c r="I94" s="48">
        <v>0.115</v>
      </c>
      <c r="J94" s="78" cm="1">
        <f t="array" ref="J94">IF(H94&lt;12.5, H94/2,
IF(H94&lt;29, 6.25,
IF(H94&lt;50, 6.5,
IF(H94&lt;79, 6.75,
VALUE(SUBSTITUTE(
INDEX(RESUMO!$J$2:$J$100, MATCH(1,
(D94&gt;=RESUMO!$H$2:$H$100)*(D94&lt;=RESUMO!$I$2:$I$100)*(H94&gt;=RESUMO!$K$2:$K$100)*(H94&lt;=RESUMO!$L$2:$L$100),
0)), "R$ ", ""))
))))</f>
        <v>20.2</v>
      </c>
      <c r="K94" s="78">
        <v>0</v>
      </c>
      <c r="L94" s="10">
        <f t="shared" si="26"/>
        <v>0.78394947473736865</v>
      </c>
      <c r="M94" s="7"/>
      <c r="N94" s="48"/>
      <c r="O94" s="78" cm="1">
        <f t="array" ref="O94">IF(M94&lt;12.5, 0,
IF(M94&lt;29, 6.25,
IF(M94&lt;50, 6.5,
IF(M94&lt;79, 6.75,
VALUE(SUBSTITUTE(
INDEX(RESUMO!$J$2:$J$100, MATCH(1,
(D94&gt;=RESUMO!$H$2:$H$100)*(D94&lt;=RESUMO!$I$2:$I$100)*(M94&gt;=RESUMO!$K$2:$K$100)*(M94&lt;=RESUMO!$L$2:$L$100),
0)), "R$ ", ""))
))))</f>
        <v>0</v>
      </c>
      <c r="P94" s="9"/>
      <c r="Q94" s="10" t="e">
        <f t="shared" si="8"/>
        <v>#DIV/0!</v>
      </c>
      <c r="R94" s="5">
        <f t="shared" si="9"/>
        <v>156.7115</v>
      </c>
      <c r="S94" s="5">
        <f t="shared" si="10"/>
        <v>156.7115</v>
      </c>
      <c r="T94" s="5">
        <f t="shared" si="11"/>
        <v>0</v>
      </c>
      <c r="U94" s="5">
        <f t="shared" si="12"/>
        <v>0</v>
      </c>
    </row>
    <row r="95" spans="1:21" x14ac:dyDescent="0.25">
      <c r="A95" s="11" t="s">
        <v>41</v>
      </c>
      <c r="B95" s="61" t="s">
        <v>151</v>
      </c>
      <c r="C95" s="9">
        <v>0</v>
      </c>
      <c r="D95" s="6"/>
      <c r="E95" s="8">
        <v>0.04</v>
      </c>
      <c r="F95" s="49">
        <v>0</v>
      </c>
      <c r="G95" s="9"/>
      <c r="H95" s="9">
        <v>449.9</v>
      </c>
      <c r="I95" s="48">
        <v>0.115</v>
      </c>
      <c r="J95" s="78" cm="1">
        <f t="array" ref="J95">IF(H95&lt;12.5, H95/2,
IF(H95&lt;29, 6.25,
IF(H95&lt;50, 6.5,
IF(H95&lt;79, 6.75,
VALUE(SUBSTITUTE(
INDEX(RESUMO!$J$2:$J$100, MATCH(1,
(D95&gt;=RESUMO!$H$2:$H$100)*(D95&lt;=RESUMO!$I$2:$I$100)*(H95&gt;=RESUMO!$K$2:$K$100)*(H95&lt;=RESUMO!$L$2:$L$100),
0)), "R$ ", ""))
))))</f>
        <v>19.95</v>
      </c>
      <c r="K95" s="78">
        <v>0</v>
      </c>
      <c r="L95" s="10">
        <f t="shared" si="26"/>
        <v>0.84065681262502778</v>
      </c>
      <c r="M95" s="7"/>
      <c r="N95" s="48"/>
      <c r="O95" s="78" cm="1">
        <f t="array" ref="O95">IF(M95&lt;12.5, 0,
IF(M95&lt;29, 6.25,
IF(M95&lt;50, 6.5,
IF(M95&lt;79, 6.75,
VALUE(SUBSTITUTE(
INDEX(RESUMO!$J$2:$J$100, MATCH(1,
(D95&gt;=RESUMO!$H$2:$H$100)*(D95&lt;=RESUMO!$I$2:$I$100)*(M95&gt;=RESUMO!$K$2:$K$100)*(M95&lt;=RESUMO!$L$2:$L$100),
0)), "R$ ", ""))
))))</f>
        <v>0</v>
      </c>
      <c r="P95" s="9"/>
      <c r="Q95" s="10" t="e">
        <f t="shared" si="8"/>
        <v>#DIV/0!</v>
      </c>
      <c r="R95" s="5">
        <f t="shared" si="9"/>
        <v>378.2115</v>
      </c>
      <c r="S95" s="5">
        <f t="shared" si="10"/>
        <v>378.2115</v>
      </c>
      <c r="T95" s="5">
        <f t="shared" si="11"/>
        <v>0</v>
      </c>
      <c r="U95" s="5">
        <f t="shared" si="12"/>
        <v>0</v>
      </c>
    </row>
    <row r="96" spans="1:21" x14ac:dyDescent="0.25">
      <c r="A96" s="11" t="s">
        <v>41</v>
      </c>
      <c r="B96" s="61" t="s">
        <v>152</v>
      </c>
      <c r="C96" s="9">
        <v>0</v>
      </c>
      <c r="D96" s="6"/>
      <c r="E96" s="8">
        <v>0.04</v>
      </c>
      <c r="F96" s="49">
        <v>0</v>
      </c>
      <c r="G96" s="9"/>
      <c r="H96" s="9">
        <v>215</v>
      </c>
      <c r="I96" s="48">
        <v>0.115</v>
      </c>
      <c r="J96" s="78" cm="1">
        <f t="array" ref="J96">IF(H96&lt;12.5, H96/2,
IF(H96&lt;29, 6.25,
IF(H96&lt;50, 6.5,
IF(H96&lt;79, 6.75,
VALUE(SUBSTITUTE(
INDEX(RESUMO!$J$2:$J$100, MATCH(1,
(D96&gt;=RESUMO!$H$2:$H$100)*(D96&lt;=RESUMO!$I$2:$I$100)*(H96&gt;=RESUMO!$K$2:$K$100)*(H96&lt;=RESUMO!$L$2:$L$100),
0)), "R$ ", ""))
))))</f>
        <v>19.95</v>
      </c>
      <c r="K96" s="78">
        <v>0</v>
      </c>
      <c r="L96" s="10">
        <f t="shared" si="26"/>
        <v>0.79220930232558151</v>
      </c>
      <c r="M96" s="7"/>
      <c r="N96" s="48"/>
      <c r="O96" s="78" cm="1">
        <f t="array" ref="O96">IF(M96&lt;12.5, 0,
IF(M96&lt;29, 6.25,
IF(M96&lt;50, 6.5,
IF(M96&lt;79, 6.75,
VALUE(SUBSTITUTE(
INDEX(RESUMO!$J$2:$J$100, MATCH(1,
(D96&gt;=RESUMO!$H$2:$H$100)*(D96&lt;=RESUMO!$I$2:$I$100)*(M96&gt;=RESUMO!$K$2:$K$100)*(M96&lt;=RESUMO!$L$2:$L$100),
0)), "R$ ", ""))
))))</f>
        <v>0</v>
      </c>
      <c r="P96" s="9"/>
      <c r="Q96" s="10" t="e">
        <f t="shared" si="8"/>
        <v>#DIV/0!</v>
      </c>
      <c r="R96" s="5">
        <f t="shared" si="9"/>
        <v>170.32500000000002</v>
      </c>
      <c r="S96" s="5">
        <f t="shared" si="10"/>
        <v>170.32500000000002</v>
      </c>
      <c r="T96" s="5">
        <f t="shared" si="11"/>
        <v>0</v>
      </c>
      <c r="U96" s="5">
        <f t="shared" si="12"/>
        <v>0</v>
      </c>
    </row>
    <row r="97" spans="1:21" x14ac:dyDescent="0.25">
      <c r="A97" s="11" t="s">
        <v>41</v>
      </c>
      <c r="B97" s="6" t="s">
        <v>153</v>
      </c>
      <c r="C97" s="9">
        <v>0</v>
      </c>
      <c r="D97" s="6">
        <v>0.3</v>
      </c>
      <c r="E97" s="8">
        <v>0.04</v>
      </c>
      <c r="F97" s="49">
        <v>0</v>
      </c>
      <c r="G97" s="9">
        <v>2</v>
      </c>
      <c r="H97" s="9">
        <v>44.9</v>
      </c>
      <c r="I97" s="48">
        <v>0.115</v>
      </c>
      <c r="J97" s="78" cm="1">
        <f t="array" ref="J97">IF(H97&lt;12.5, H97/2,
IF(H97&lt;29, 6.25,
IF(H97&lt;50, 6.5,
IF(H97&lt;79, 6.75,
VALUE(SUBSTITUTE(
INDEX(RESUMO!$J$2:$J$100, MATCH(1,
(D97&gt;=RESUMO!$H$2:$H$100)*(D97&lt;=RESUMO!$I$2:$I$100)*(H97&gt;=RESUMO!$K$2:$K$100)*(H97&lt;=RESUMO!$L$2:$L$100),
0)), "R$ ", ""))
))))</f>
        <v>6.5</v>
      </c>
      <c r="K97" s="78">
        <v>0</v>
      </c>
      <c r="L97" s="10">
        <f t="shared" si="26"/>
        <v>0.74023385300668154</v>
      </c>
      <c r="M97" s="7"/>
      <c r="N97" s="48"/>
      <c r="O97" s="78" cm="1">
        <f t="array" ref="O97">IF(M97&lt;12.5, 0,
IF(M97&lt;29, 6.25,
IF(M97&lt;50, 6.5,
IF(M97&lt;79, 6.75,
VALUE(SUBSTITUTE(
INDEX(RESUMO!$J$2:$J$100, MATCH(1,
(D97&gt;=RESUMO!$H$2:$H$100)*(D97&lt;=RESUMO!$I$2:$I$100)*(M97&gt;=RESUMO!$K$2:$K$100)*(M97&lt;=RESUMO!$L$2:$L$100),
0)), "R$ ", ""))
))))</f>
        <v>0</v>
      </c>
      <c r="P97" s="9"/>
      <c r="Q97" s="10" t="e">
        <f t="shared" si="8"/>
        <v>#DIV/0!</v>
      </c>
      <c r="R97" s="5">
        <f t="shared" si="9"/>
        <v>33.236499999999999</v>
      </c>
      <c r="S97" s="5">
        <f t="shared" si="10"/>
        <v>33.236499999999999</v>
      </c>
      <c r="T97" s="5">
        <f t="shared" si="11"/>
        <v>0</v>
      </c>
      <c r="U97" s="5">
        <f t="shared" si="12"/>
        <v>0</v>
      </c>
    </row>
    <row r="98" spans="1:21" x14ac:dyDescent="0.25">
      <c r="A98" s="11" t="s">
        <v>41</v>
      </c>
      <c r="B98" s="61" t="s">
        <v>154</v>
      </c>
      <c r="C98" s="9">
        <v>0</v>
      </c>
      <c r="D98" s="6"/>
      <c r="E98" s="8">
        <v>0.04</v>
      </c>
      <c r="F98" s="49">
        <v>0</v>
      </c>
      <c r="G98" s="9"/>
      <c r="H98" s="9">
        <v>175</v>
      </c>
      <c r="I98" s="48">
        <v>0.115</v>
      </c>
      <c r="J98" s="78" cm="1">
        <f t="array" ref="J98">IF(H98&lt;12.5, H98/2,
IF(H98&lt;29, 6.25,
IF(H98&lt;50, 6.5,
IF(H98&lt;79, 6.75,
VALUE(SUBSTITUTE(
INDEX(RESUMO!$J$2:$J$100, MATCH(1,
(D98&gt;=RESUMO!$H$2:$H$100)*(D98&lt;=RESUMO!$I$2:$I$100)*(H98&gt;=RESUMO!$K$2:$K$100)*(H98&lt;=RESUMO!$L$2:$L$100),
0)), "R$ ", ""))
))))</f>
        <v>17.95</v>
      </c>
      <c r="K98" s="78">
        <v>0</v>
      </c>
      <c r="L98" s="10">
        <f t="shared" ref="L98:L161" si="33">S98/H98</f>
        <v>0.78242857142857147</v>
      </c>
      <c r="M98" s="7"/>
      <c r="N98" s="48"/>
      <c r="O98" s="78" cm="1">
        <f t="array" ref="O98">IF(M98&lt;12.5, 0,
IF(M98&lt;29, 6.25,
IF(M98&lt;50, 6.5,
IF(M98&lt;79, 6.75,
VALUE(SUBSTITUTE(
INDEX(RESUMO!$J$2:$J$100, MATCH(1,
(D98&gt;=RESUMO!$H$2:$H$100)*(D98&lt;=RESUMO!$I$2:$I$100)*(M98&gt;=RESUMO!$K$2:$K$100)*(M98&lt;=RESUMO!$L$2:$L$100),
0)), "R$ ", ""))
))))</f>
        <v>0</v>
      </c>
      <c r="P98" s="9"/>
      <c r="Q98" s="10" t="e">
        <f t="shared" si="8"/>
        <v>#DIV/0!</v>
      </c>
      <c r="R98" s="5">
        <f t="shared" si="9"/>
        <v>136.92500000000001</v>
      </c>
      <c r="S98" s="5">
        <f t="shared" si="10"/>
        <v>136.92500000000001</v>
      </c>
      <c r="T98" s="5">
        <f t="shared" si="11"/>
        <v>0</v>
      </c>
      <c r="U98" s="5">
        <f t="shared" si="12"/>
        <v>0</v>
      </c>
    </row>
    <row r="99" spans="1:21" x14ac:dyDescent="0.25">
      <c r="A99" s="11"/>
      <c r="B99" s="6" t="s">
        <v>155</v>
      </c>
      <c r="C99" s="9">
        <v>0</v>
      </c>
      <c r="D99" s="6">
        <v>0.3</v>
      </c>
      <c r="E99" s="8">
        <v>0.04</v>
      </c>
      <c r="F99" s="49">
        <v>0</v>
      </c>
      <c r="G99" s="9">
        <v>2</v>
      </c>
      <c r="H99" s="9">
        <v>74.900000000000006</v>
      </c>
      <c r="I99" s="48">
        <v>0.13</v>
      </c>
      <c r="J99" s="78" cm="1">
        <f t="array" ref="J99">IF(H99&lt;12.5, H99/2,
IF(H99&lt;29, 6.25,
IF(H99&lt;50, 6.5,
IF(H99&lt;79, 6.75,
VALUE(SUBSTITUTE(
INDEX(RESUMO!$J$2:$J$100, MATCH(1,
(D99&gt;=RESUMO!$H$2:$H$100)*(D99&lt;=RESUMO!$I$2:$I$100)*(H99&gt;=RESUMO!$K$2:$K$100)*(H99&lt;=RESUMO!$L$2:$L$100),
0)), "R$ ", ""))
))))</f>
        <v>6.75</v>
      </c>
      <c r="K99" s="78">
        <v>0</v>
      </c>
      <c r="L99" s="10">
        <f t="shared" si="33"/>
        <v>0.77987983978638198</v>
      </c>
      <c r="M99" s="7"/>
      <c r="N99" s="48"/>
      <c r="O99" s="78" cm="1">
        <f t="array" ref="O99">IF(M99&lt;12.5, 0,
IF(M99&lt;29, 6.25,
IF(M99&lt;50, 6.5,
IF(M99&lt;79, 6.75,
VALUE(SUBSTITUTE(
INDEX(RESUMO!$J$2:$J$100, MATCH(1,
(D99&gt;=RESUMO!$H$2:$H$100)*(D99&lt;=RESUMO!$I$2:$I$100)*(M99&gt;=RESUMO!$K$2:$K$100)*(M99&lt;=RESUMO!$L$2:$L$100),
0)), "R$ ", ""))
))))</f>
        <v>0</v>
      </c>
      <c r="P99" s="9"/>
      <c r="Q99" s="10" t="e">
        <f t="shared" si="8"/>
        <v>#DIV/0!</v>
      </c>
      <c r="R99" s="5">
        <f t="shared" si="9"/>
        <v>58.413000000000011</v>
      </c>
      <c r="S99" s="5">
        <f t="shared" si="10"/>
        <v>58.413000000000011</v>
      </c>
      <c r="T99" s="5">
        <f t="shared" si="11"/>
        <v>0</v>
      </c>
      <c r="U99" s="5">
        <f t="shared" si="12"/>
        <v>0</v>
      </c>
    </row>
    <row r="100" spans="1:21" x14ac:dyDescent="0.25">
      <c r="A100" s="11" t="s">
        <v>27</v>
      </c>
      <c r="B100" s="6" t="s">
        <v>156</v>
      </c>
      <c r="C100" s="9">
        <v>0</v>
      </c>
      <c r="D100" s="6"/>
      <c r="E100" s="8">
        <v>0.04</v>
      </c>
      <c r="F100" s="49">
        <v>0</v>
      </c>
      <c r="G100" s="9"/>
      <c r="H100" s="9">
        <v>149.9</v>
      </c>
      <c r="I100" s="48">
        <v>0.13</v>
      </c>
      <c r="J100" s="78" cm="1">
        <f t="array" ref="J100">IF(H100&lt;12.5, H100/2,
IF(H100&lt;29, 6.25,
IF(H100&lt;50, 6.5,
IF(H100&lt;79, 6.75,
VALUE(SUBSTITUTE(
INDEX(RESUMO!$J$2:$J$100, MATCH(1,
(D100&gt;=RESUMO!$H$2:$H$100)*(D100&lt;=RESUMO!$I$2:$I$100)*(H100&gt;=RESUMO!$K$2:$K$100)*(H100&lt;=RESUMO!$L$2:$L$100),
0)), "R$ ", ""))
))))</f>
        <v>15.96</v>
      </c>
      <c r="K100" s="78">
        <v>0</v>
      </c>
      <c r="L100" s="10">
        <f t="shared" si="33"/>
        <v>0.76352901934623085</v>
      </c>
      <c r="M100" s="7"/>
      <c r="N100" s="48"/>
      <c r="O100" s="78" cm="1">
        <f t="array" ref="O100">IF(M100&lt;12.5, 0,
IF(M100&lt;29, 6.25,
IF(M100&lt;50, 6.5,
IF(M100&lt;79, 6.75,
VALUE(SUBSTITUTE(
INDEX(RESUMO!$J$2:$J$100, MATCH(1,
(D100&gt;=RESUMO!$H$2:$H$100)*(D100&lt;=RESUMO!$I$2:$I$100)*(M100&gt;=RESUMO!$K$2:$K$100)*(M100&lt;=RESUMO!$L$2:$L$100),
0)), "R$ ", ""))
))))</f>
        <v>0</v>
      </c>
      <c r="P100" s="9"/>
      <c r="Q100" s="10" t="e">
        <f t="shared" si="8"/>
        <v>#DIV/0!</v>
      </c>
      <c r="R100" s="5">
        <f t="shared" si="9"/>
        <v>114.453</v>
      </c>
      <c r="S100" s="5">
        <f t="shared" si="10"/>
        <v>114.453</v>
      </c>
      <c r="T100" s="5">
        <f t="shared" si="11"/>
        <v>0</v>
      </c>
      <c r="U100" s="5">
        <f t="shared" si="12"/>
        <v>0</v>
      </c>
    </row>
    <row r="101" spans="1:21" x14ac:dyDescent="0.25">
      <c r="A101" s="11"/>
      <c r="B101" s="6" t="s">
        <v>157</v>
      </c>
      <c r="C101" s="9">
        <v>0</v>
      </c>
      <c r="D101" s="6">
        <v>2</v>
      </c>
      <c r="E101" s="8">
        <v>0.04</v>
      </c>
      <c r="F101" s="49">
        <v>0</v>
      </c>
      <c r="G101" s="9">
        <v>2</v>
      </c>
      <c r="H101" s="9">
        <v>499</v>
      </c>
      <c r="I101" s="48">
        <v>0.11</v>
      </c>
      <c r="J101" s="78" cm="1">
        <f t="array" ref="J101">IF(H101&lt;12.5, H101/2,
IF(H101&lt;29, 6.25,
IF(H101&lt;50, 6.5,
IF(H101&lt;79, 6.75,
VALUE(SUBSTITUTE(
INDEX(RESUMO!$J$2:$J$100, MATCH(1,
(D101&gt;=RESUMO!$H$2:$H$100)*(D101&lt;=RESUMO!$I$2:$I$100)*(H101&gt;=RESUMO!$K$2:$K$100)*(H101&lt;=RESUMO!$L$2:$L$100),
0)), "R$ ", ""))
))))</f>
        <v>23.45</v>
      </c>
      <c r="K101" s="78">
        <v>0</v>
      </c>
      <c r="L101" s="10">
        <f t="shared" si="33"/>
        <v>0.84300601202404812</v>
      </c>
      <c r="M101" s="7"/>
      <c r="N101" s="48"/>
      <c r="O101" s="78" cm="1">
        <f t="array" ref="O101">IF(M101&lt;12.5, 0,
IF(M101&lt;29, 6.25,
IF(M101&lt;50, 6.5,
IF(M101&lt;79, 6.75,
VALUE(SUBSTITUTE(
INDEX(RESUMO!$J$2:$J$100, MATCH(1,
(D101&gt;=RESUMO!$H$2:$H$100)*(D101&lt;=RESUMO!$I$2:$I$100)*(M101&gt;=RESUMO!$K$2:$K$100)*(M101&lt;=RESUMO!$L$2:$L$100),
0)), "R$ ", ""))
))))</f>
        <v>0</v>
      </c>
      <c r="P101" s="9"/>
      <c r="Q101" s="10" t="e">
        <f t="shared" si="8"/>
        <v>#DIV/0!</v>
      </c>
      <c r="R101" s="5">
        <f t="shared" si="9"/>
        <v>420.66</v>
      </c>
      <c r="S101" s="5">
        <f t="shared" si="10"/>
        <v>420.66</v>
      </c>
      <c r="T101" s="5">
        <f t="shared" si="11"/>
        <v>0</v>
      </c>
      <c r="U101" s="5">
        <f t="shared" si="12"/>
        <v>0</v>
      </c>
    </row>
    <row r="102" spans="1:21" x14ac:dyDescent="0.25">
      <c r="A102" s="11"/>
      <c r="B102" s="6" t="s">
        <v>158</v>
      </c>
      <c r="C102" s="9">
        <v>0</v>
      </c>
      <c r="D102" s="6">
        <v>0.3</v>
      </c>
      <c r="E102" s="8">
        <v>0.04</v>
      </c>
      <c r="F102" s="49">
        <v>0</v>
      </c>
      <c r="G102" s="9">
        <v>2</v>
      </c>
      <c r="H102" s="9">
        <v>31.5</v>
      </c>
      <c r="I102" s="48">
        <v>0.115</v>
      </c>
      <c r="J102" s="78" cm="1">
        <f t="array" ref="J102">IF(H102&lt;12.5, H102/2,
IF(H102&lt;29, 6.25,
IF(H102&lt;50, 6.5,
IF(H102&lt;79, 6.75,
VALUE(SUBSTITUTE(
INDEX(RESUMO!$J$2:$J$100, MATCH(1,
(D102&gt;=RESUMO!$H$2:$H$100)*(D102&lt;=RESUMO!$I$2:$I$100)*(H102&gt;=RESUMO!$K$2:$K$100)*(H102&lt;=RESUMO!$L$2:$L$100),
0)), "R$ ", ""))
))))</f>
        <v>6.5</v>
      </c>
      <c r="K102" s="78">
        <v>0</v>
      </c>
      <c r="L102" s="10">
        <f t="shared" si="33"/>
        <v>0.67865079365079373</v>
      </c>
      <c r="M102" s="7"/>
      <c r="N102" s="48"/>
      <c r="O102" s="78" cm="1">
        <f t="array" ref="O102">IF(M102&lt;12.5, 0,
IF(M102&lt;29, 6.25,
IF(M102&lt;50, 6.5,
IF(M102&lt;79, 6.75,
VALUE(SUBSTITUTE(
INDEX(RESUMO!$J$2:$J$100, MATCH(1,
(D102&gt;=RESUMO!$H$2:$H$100)*(D102&lt;=RESUMO!$I$2:$I$100)*(M102&gt;=RESUMO!$K$2:$K$100)*(M102&lt;=RESUMO!$L$2:$L$100),
0)), "R$ ", ""))
))))</f>
        <v>0</v>
      </c>
      <c r="P102" s="9"/>
      <c r="Q102" s="10" t="e">
        <f t="shared" si="8"/>
        <v>#DIV/0!</v>
      </c>
      <c r="R102" s="5">
        <f t="shared" si="9"/>
        <v>21.377500000000001</v>
      </c>
      <c r="S102" s="5">
        <f t="shared" si="10"/>
        <v>21.377500000000001</v>
      </c>
      <c r="T102" s="5">
        <f t="shared" si="11"/>
        <v>0</v>
      </c>
      <c r="U102" s="5">
        <f t="shared" si="12"/>
        <v>0</v>
      </c>
    </row>
    <row r="103" spans="1:21" x14ac:dyDescent="0.25">
      <c r="A103" s="11"/>
      <c r="B103" s="6" t="s">
        <v>310</v>
      </c>
      <c r="C103" s="9">
        <v>0</v>
      </c>
      <c r="D103" s="6">
        <v>0.3</v>
      </c>
      <c r="E103" s="8">
        <v>0.04</v>
      </c>
      <c r="F103" s="49">
        <v>0</v>
      </c>
      <c r="G103" s="9">
        <v>2</v>
      </c>
      <c r="H103" s="9">
        <v>47.5</v>
      </c>
      <c r="I103" s="48">
        <v>0.13</v>
      </c>
      <c r="J103" s="78" cm="1">
        <f t="array" ref="J103">IF(H103&lt;12.5, H103/2,
IF(H103&lt;29, 6.25,
IF(H103&lt;50, 6.5,
IF(H103&lt;79, 6.75,
VALUE(SUBSTITUTE(
INDEX(RESUMO!$J$2:$J$100, MATCH(1,
(D103&gt;=RESUMO!$H$2:$H$100)*(D103&lt;=RESUMO!$I$2:$I$100)*(H103&gt;=RESUMO!$K$2:$K$100)*(H103&lt;=RESUMO!$L$2:$L$100),
0)), "R$ ", ""))
))))</f>
        <v>6.5</v>
      </c>
      <c r="K103" s="78">
        <v>0</v>
      </c>
      <c r="L103" s="10">
        <f t="shared" si="33"/>
        <v>0.73315789473684212</v>
      </c>
      <c r="M103" s="7"/>
      <c r="N103" s="48"/>
      <c r="O103" s="78" cm="1">
        <f t="array" ref="O103">IF(M103&lt;12.5, 0,
IF(M103&lt;29, 6.25,
IF(M103&lt;50, 6.5,
IF(M103&lt;79, 6.75,
VALUE(SUBSTITUTE(
INDEX(RESUMO!$J$2:$J$100, MATCH(1,
(D103&gt;=RESUMO!$H$2:$H$100)*(D103&lt;=RESUMO!$I$2:$I$100)*(M103&gt;=RESUMO!$K$2:$K$100)*(M103&lt;=RESUMO!$L$2:$L$100),
0)), "R$ ", ""))
))))</f>
        <v>0</v>
      </c>
      <c r="P103" s="9"/>
      <c r="Q103" s="10" t="e">
        <f t="shared" si="8"/>
        <v>#DIV/0!</v>
      </c>
      <c r="R103" s="5">
        <f t="shared" si="9"/>
        <v>34.825000000000003</v>
      </c>
      <c r="S103" s="5">
        <f t="shared" si="10"/>
        <v>34.825000000000003</v>
      </c>
      <c r="T103" s="5">
        <f t="shared" si="11"/>
        <v>0</v>
      </c>
      <c r="U103" s="5">
        <f t="shared" si="12"/>
        <v>0</v>
      </c>
    </row>
    <row r="104" spans="1:21" x14ac:dyDescent="0.25">
      <c r="A104" s="11"/>
      <c r="B104" s="6" t="s">
        <v>159</v>
      </c>
      <c r="C104" s="9">
        <v>0</v>
      </c>
      <c r="D104" s="6">
        <v>4</v>
      </c>
      <c r="E104" s="8">
        <v>0.04</v>
      </c>
      <c r="F104" s="49">
        <v>0</v>
      </c>
      <c r="G104" s="9">
        <v>2</v>
      </c>
      <c r="H104" s="9">
        <v>459</v>
      </c>
      <c r="I104" s="48">
        <v>0.115</v>
      </c>
      <c r="J104" s="78" cm="1">
        <f t="array" ref="J104">IF(H104&lt;12.5, H104/2,
IF(H104&lt;29, 6.25,
IF(H104&lt;50, 6.5,
IF(H104&lt;79, 6.75,
VALUE(SUBSTITUTE(
INDEX(RESUMO!$J$2:$J$100, MATCH(1,
(D104&gt;=RESUMO!$H$2:$H$100)*(D104&lt;=RESUMO!$I$2:$I$100)*(H104&gt;=RESUMO!$K$2:$K$100)*(H104&lt;=RESUMO!$L$2:$L$100),
0)), "R$ ", ""))
))))</f>
        <v>26.95</v>
      </c>
      <c r="K104" s="78">
        <v>0</v>
      </c>
      <c r="L104" s="10">
        <f t="shared" si="33"/>
        <v>0.82628540305010889</v>
      </c>
      <c r="M104" s="7"/>
      <c r="N104" s="48"/>
      <c r="O104" s="78" cm="1">
        <f t="array" ref="O104">IF(M104&lt;12.5, 0,
IF(M104&lt;29, 6.25,
IF(M104&lt;50, 6.5,
IF(M104&lt;79, 6.75,
VALUE(SUBSTITUTE(
INDEX(RESUMO!$J$2:$J$100, MATCH(1,
(D104&gt;=RESUMO!$H$2:$H$100)*(D104&lt;=RESUMO!$I$2:$I$100)*(M104&gt;=RESUMO!$K$2:$K$100)*(M104&lt;=RESUMO!$L$2:$L$100),
0)), "R$ ", ""))
))))</f>
        <v>0</v>
      </c>
      <c r="P104" s="9"/>
      <c r="Q104" s="10" t="e">
        <f t="shared" si="8"/>
        <v>#DIV/0!</v>
      </c>
      <c r="R104" s="5">
        <f t="shared" si="9"/>
        <v>379.26499999999999</v>
      </c>
      <c r="S104" s="5">
        <f t="shared" si="10"/>
        <v>379.26499999999999</v>
      </c>
      <c r="T104" s="5">
        <f t="shared" si="11"/>
        <v>0</v>
      </c>
      <c r="U104" s="5">
        <f t="shared" si="12"/>
        <v>0</v>
      </c>
    </row>
    <row r="105" spans="1:21" x14ac:dyDescent="0.25">
      <c r="A105" s="11"/>
      <c r="B105" s="6" t="s">
        <v>160</v>
      </c>
      <c r="C105" s="9">
        <v>0</v>
      </c>
      <c r="D105" s="6">
        <v>3</v>
      </c>
      <c r="E105" s="8">
        <v>0.04</v>
      </c>
      <c r="F105" s="49">
        <v>0</v>
      </c>
      <c r="G105" s="9">
        <v>2</v>
      </c>
      <c r="H105" s="9">
        <v>225</v>
      </c>
      <c r="I105" s="48">
        <v>0.12</v>
      </c>
      <c r="J105" s="78" cm="1">
        <f t="array" ref="J105">IF(H105&lt;12.5, H105/2,
IF(H105&lt;29, 6.25,
IF(H105&lt;50, 6.5,
IF(H105&lt;79, 6.75,
VALUE(SUBSTITUTE(
INDEX(RESUMO!$J$2:$J$100, MATCH(1,
(D105&gt;=RESUMO!$H$2:$H$100)*(D105&lt;=RESUMO!$I$2:$I$100)*(H105&gt;=RESUMO!$K$2:$K$100)*(H105&lt;=RESUMO!$L$2:$L$100),
0)), "R$ ", ""))
))))</f>
        <v>24.95</v>
      </c>
      <c r="K105" s="78">
        <v>0</v>
      </c>
      <c r="L105" s="10">
        <f t="shared" si="33"/>
        <v>0.76911111111111119</v>
      </c>
      <c r="M105" s="7"/>
      <c r="N105" s="48"/>
      <c r="O105" s="78" cm="1">
        <f t="array" ref="O105">IF(M105&lt;12.5, 0,
IF(M105&lt;29, 6.25,
IF(M105&lt;50, 6.5,
IF(M105&lt;79, 6.75,
VALUE(SUBSTITUTE(
INDEX(RESUMO!$J$2:$J$100, MATCH(1,
(D105&gt;=RESUMO!$H$2:$H$100)*(D105&lt;=RESUMO!$I$2:$I$100)*(M105&gt;=RESUMO!$K$2:$K$100)*(M105&lt;=RESUMO!$L$2:$L$100),
0)), "R$ ", ""))
))))</f>
        <v>0</v>
      </c>
      <c r="P105" s="9"/>
      <c r="Q105" s="10" t="e">
        <f t="shared" si="8"/>
        <v>#DIV/0!</v>
      </c>
      <c r="R105" s="5">
        <f t="shared" si="9"/>
        <v>173.05</v>
      </c>
      <c r="S105" s="5">
        <f t="shared" si="10"/>
        <v>173.05</v>
      </c>
      <c r="T105" s="5">
        <f t="shared" si="11"/>
        <v>0</v>
      </c>
      <c r="U105" s="5">
        <f t="shared" si="12"/>
        <v>0</v>
      </c>
    </row>
    <row r="106" spans="1:21" x14ac:dyDescent="0.25">
      <c r="A106" s="11"/>
      <c r="B106" s="6" t="s">
        <v>161</v>
      </c>
      <c r="C106" s="9">
        <v>0</v>
      </c>
      <c r="D106" s="6">
        <v>0.3</v>
      </c>
      <c r="E106" s="8">
        <v>0.04</v>
      </c>
      <c r="F106" s="49">
        <v>0</v>
      </c>
      <c r="G106" s="9">
        <v>2</v>
      </c>
      <c r="H106" s="9">
        <v>59.9</v>
      </c>
      <c r="I106" s="48">
        <v>0.115</v>
      </c>
      <c r="J106" s="78" cm="1">
        <f t="array" ref="J106">IF(H106&lt;12.5, H106/2,
IF(H106&lt;29, 6.25,
IF(H106&lt;50, 6.5,
IF(H106&lt;79, 6.75,
VALUE(SUBSTITUTE(
INDEX(RESUMO!$J$2:$J$100, MATCH(1,
(D106&gt;=RESUMO!$H$2:$H$100)*(D106&lt;=RESUMO!$I$2:$I$100)*(H106&gt;=RESUMO!$K$2:$K$100)*(H106&lt;=RESUMO!$L$2:$L$100),
0)), "R$ ", ""))
))))</f>
        <v>6.75</v>
      </c>
      <c r="K106" s="78">
        <v>0</v>
      </c>
      <c r="L106" s="10">
        <f t="shared" si="33"/>
        <v>0.77231218697829718</v>
      </c>
      <c r="M106" s="7"/>
      <c r="N106" s="48"/>
      <c r="O106" s="78" cm="1">
        <f t="array" ref="O106">IF(M106&lt;12.5, 0,
IF(M106&lt;29, 6.25,
IF(M106&lt;50, 6.5,
IF(M106&lt;79, 6.75,
VALUE(SUBSTITUTE(
INDEX(RESUMO!$J$2:$J$100, MATCH(1,
(D106&gt;=RESUMO!$H$2:$H$100)*(D106&lt;=RESUMO!$I$2:$I$100)*(M106&gt;=RESUMO!$K$2:$K$100)*(M106&lt;=RESUMO!$L$2:$L$100),
0)), "R$ ", ""))
))))</f>
        <v>0</v>
      </c>
      <c r="P106" s="9"/>
      <c r="Q106" s="10" t="e">
        <f t="shared" si="8"/>
        <v>#DIV/0!</v>
      </c>
      <c r="R106" s="5">
        <f t="shared" si="9"/>
        <v>46.261499999999998</v>
      </c>
      <c r="S106" s="5">
        <f t="shared" si="10"/>
        <v>46.261499999999998</v>
      </c>
      <c r="T106" s="5">
        <f t="shared" si="11"/>
        <v>0</v>
      </c>
      <c r="U106" s="5">
        <f t="shared" si="12"/>
        <v>0</v>
      </c>
    </row>
    <row r="107" spans="1:21" x14ac:dyDescent="0.25">
      <c r="A107" s="11"/>
      <c r="B107" s="6" t="s">
        <v>162</v>
      </c>
      <c r="C107" s="9">
        <v>0</v>
      </c>
      <c r="D107" s="6">
        <v>9</v>
      </c>
      <c r="E107" s="8">
        <v>0.04</v>
      </c>
      <c r="F107" s="49">
        <v>0</v>
      </c>
      <c r="G107" s="9">
        <v>2</v>
      </c>
      <c r="H107" s="9">
        <v>999</v>
      </c>
      <c r="I107" s="48">
        <v>0.12</v>
      </c>
      <c r="J107" s="78" cm="1">
        <f t="array" ref="J107">IF(H107&lt;12.5, H107/2,
IF(H107&lt;29, 6.25,
IF(H107&lt;50, 6.5,
IF(H107&lt;79, 6.75,
VALUE(SUBSTITUTE(
INDEX(RESUMO!$J$2:$J$100, MATCH(1,
(D107&gt;=RESUMO!$H$2:$H$100)*(D107&lt;=RESUMO!$I$2:$I$100)*(H107&gt;=RESUMO!$K$2:$K$100)*(H107&lt;=RESUMO!$L$2:$L$100),
0)), "R$ ", ""))
))))</f>
        <v>44.45</v>
      </c>
      <c r="K107" s="78">
        <v>0</v>
      </c>
      <c r="L107" s="10">
        <f t="shared" si="33"/>
        <v>0.83550550550550551</v>
      </c>
      <c r="M107" s="7"/>
      <c r="N107" s="48"/>
      <c r="O107" s="78" cm="1">
        <f t="array" ref="O107">IF(M107&lt;12.5, 0,
IF(M107&lt;29, 6.25,
IF(M107&lt;50, 6.5,
IF(M107&lt;79, 6.75,
VALUE(SUBSTITUTE(
INDEX(RESUMO!$J$2:$J$100, MATCH(1,
(D107&gt;=RESUMO!$H$2:$H$100)*(D107&lt;=RESUMO!$I$2:$I$100)*(M107&gt;=RESUMO!$K$2:$K$100)*(M107&lt;=RESUMO!$L$2:$L$100),
0)), "R$ ", ""))
))))</f>
        <v>0</v>
      </c>
      <c r="P107" s="9"/>
      <c r="Q107" s="10" t="e">
        <f t="shared" ref="Q107:Q169" si="34">U107/M107</f>
        <v>#DIV/0!</v>
      </c>
      <c r="R107" s="5">
        <f t="shared" si="9"/>
        <v>834.67</v>
      </c>
      <c r="S107" s="5">
        <f t="shared" si="10"/>
        <v>834.67</v>
      </c>
      <c r="T107" s="5">
        <f t="shared" si="11"/>
        <v>0</v>
      </c>
      <c r="U107" s="5">
        <f t="shared" si="12"/>
        <v>0</v>
      </c>
    </row>
    <row r="108" spans="1:21" x14ac:dyDescent="0.25">
      <c r="A108" s="11"/>
      <c r="B108" s="6" t="s">
        <v>163</v>
      </c>
      <c r="C108" s="9">
        <v>0</v>
      </c>
      <c r="D108" s="6">
        <v>4</v>
      </c>
      <c r="E108" s="8">
        <v>0.04</v>
      </c>
      <c r="F108" s="49">
        <v>0</v>
      </c>
      <c r="G108" s="9">
        <v>2</v>
      </c>
      <c r="H108" s="9">
        <v>389</v>
      </c>
      <c r="I108" s="48">
        <v>0.115</v>
      </c>
      <c r="J108" s="78" cm="1">
        <f t="array" ref="J108">IF(H108&lt;12.5, H108/2,
IF(H108&lt;29, 6.25,
IF(H108&lt;50, 6.5,
IF(H108&lt;79, 6.75,
VALUE(SUBSTITUTE(
INDEX(RESUMO!$J$2:$J$100, MATCH(1,
(D108&gt;=RESUMO!$H$2:$H$100)*(D108&lt;=RESUMO!$I$2:$I$100)*(H108&gt;=RESUMO!$K$2:$K$100)*(H108&lt;=RESUMO!$L$2:$L$100),
0)), "R$ ", ""))
))))</f>
        <v>26.95</v>
      </c>
      <c r="K108" s="78">
        <v>0</v>
      </c>
      <c r="L108" s="10">
        <f t="shared" si="33"/>
        <v>0.81571979434447295</v>
      </c>
      <c r="M108" s="7"/>
      <c r="N108" s="48"/>
      <c r="O108" s="78" cm="1">
        <f t="array" ref="O108">IF(M108&lt;12.5, 0,
IF(M108&lt;29, 6.25,
IF(M108&lt;50, 6.5,
IF(M108&lt;79, 6.75,
VALUE(SUBSTITUTE(
INDEX(RESUMO!$J$2:$J$100, MATCH(1,
(D108&gt;=RESUMO!$H$2:$H$100)*(D108&lt;=RESUMO!$I$2:$I$100)*(M108&gt;=RESUMO!$K$2:$K$100)*(M108&lt;=RESUMO!$L$2:$L$100),
0)), "R$ ", ""))
))))</f>
        <v>0</v>
      </c>
      <c r="P108" s="9"/>
      <c r="Q108" s="10" t="e">
        <f t="shared" si="34"/>
        <v>#DIV/0!</v>
      </c>
      <c r="R108" s="5">
        <f t="shared" si="9"/>
        <v>317.315</v>
      </c>
      <c r="S108" s="5">
        <f t="shared" si="10"/>
        <v>317.315</v>
      </c>
      <c r="T108" s="5">
        <f t="shared" si="11"/>
        <v>0</v>
      </c>
      <c r="U108" s="5">
        <f t="shared" si="12"/>
        <v>0</v>
      </c>
    </row>
    <row r="109" spans="1:21" x14ac:dyDescent="0.25">
      <c r="A109" s="11"/>
      <c r="B109" s="6" t="s">
        <v>164</v>
      </c>
      <c r="C109" s="9">
        <v>0</v>
      </c>
      <c r="D109" s="6">
        <v>1</v>
      </c>
      <c r="E109" s="8">
        <v>0.04</v>
      </c>
      <c r="F109" s="49">
        <v>0</v>
      </c>
      <c r="G109" s="9">
        <v>2</v>
      </c>
      <c r="H109" s="9">
        <v>239</v>
      </c>
      <c r="I109" s="48">
        <v>0.12</v>
      </c>
      <c r="J109" s="78" cm="1">
        <f t="array" ref="J109">IF(H109&lt;12.5, H109/2,
IF(H109&lt;29, 6.25,
IF(H109&lt;50, 6.5,
IF(H109&lt;79, 6.75,
VALUE(SUBSTITUTE(
INDEX(RESUMO!$J$2:$J$100, MATCH(1,
(D109&gt;=RESUMO!$H$2:$H$100)*(D109&lt;=RESUMO!$I$2:$I$100)*(H109&gt;=RESUMO!$K$2:$K$100)*(H109&lt;=RESUMO!$L$2:$L$100),
0)), "R$ ", ""))
))))</f>
        <v>22.45</v>
      </c>
      <c r="K109" s="78">
        <v>0</v>
      </c>
      <c r="L109" s="10">
        <f t="shared" si="33"/>
        <v>0.78606694560669454</v>
      </c>
      <c r="M109" s="7"/>
      <c r="N109" s="48"/>
      <c r="O109" s="78" cm="1">
        <f t="array" ref="O109">IF(M109&lt;12.5, 0,
IF(M109&lt;29, 6.25,
IF(M109&lt;50, 6.5,
IF(M109&lt;79, 6.75,
VALUE(SUBSTITUTE(
INDEX(RESUMO!$J$2:$J$100, MATCH(1,
(D109&gt;=RESUMO!$H$2:$H$100)*(D109&lt;=RESUMO!$I$2:$I$100)*(M109&gt;=RESUMO!$K$2:$K$100)*(M109&lt;=RESUMO!$L$2:$L$100),
0)), "R$ ", ""))
))))</f>
        <v>0</v>
      </c>
      <c r="P109" s="9"/>
      <c r="Q109" s="10" t="e">
        <f t="shared" si="34"/>
        <v>#DIV/0!</v>
      </c>
      <c r="R109" s="5">
        <f t="shared" si="9"/>
        <v>187.87</v>
      </c>
      <c r="S109" s="5">
        <f t="shared" si="10"/>
        <v>187.87</v>
      </c>
      <c r="T109" s="5">
        <f t="shared" si="11"/>
        <v>0</v>
      </c>
      <c r="U109" s="5">
        <f t="shared" si="12"/>
        <v>0</v>
      </c>
    </row>
    <row r="110" spans="1:21" x14ac:dyDescent="0.25">
      <c r="A110" s="11"/>
      <c r="B110" s="6" t="s">
        <v>165</v>
      </c>
      <c r="C110" s="9">
        <v>0</v>
      </c>
      <c r="D110" s="6">
        <v>5</v>
      </c>
      <c r="E110" s="8">
        <v>0.04</v>
      </c>
      <c r="F110" s="49">
        <v>0</v>
      </c>
      <c r="G110" s="9">
        <v>2</v>
      </c>
      <c r="H110" s="9">
        <v>749.9</v>
      </c>
      <c r="I110" s="48">
        <v>0.115</v>
      </c>
      <c r="J110" s="78" cm="1">
        <f t="array" ref="J110">IF(H110&lt;12.5, H110/2,
IF(H110&lt;29, 6.25,
IF(H110&lt;50, 6.5,
IF(H110&lt;79, 6.75,
VALUE(SUBSTITUTE(
INDEX(RESUMO!$J$2:$J$100, MATCH(1,
(D110&gt;=RESUMO!$H$2:$H$100)*(D110&lt;=RESUMO!$I$2:$I$100)*(H110&gt;=RESUMO!$K$2:$K$100)*(H110&lt;=RESUMO!$L$2:$L$100),
0)), "R$ ", ""))
))))</f>
        <v>28.45</v>
      </c>
      <c r="K110" s="78">
        <v>0</v>
      </c>
      <c r="L110" s="10">
        <f t="shared" si="33"/>
        <v>0.84706160821442844</v>
      </c>
      <c r="M110" s="7"/>
      <c r="N110" s="48"/>
      <c r="O110" s="78" cm="1">
        <f t="array" ref="O110">IF(M110&lt;12.5, 0,
IF(M110&lt;29, 6.25,
IF(M110&lt;50, 6.5,
IF(M110&lt;79, 6.75,
VALUE(SUBSTITUTE(
INDEX(RESUMO!$J$2:$J$100, MATCH(1,
(D110&gt;=RESUMO!$H$2:$H$100)*(D110&lt;=RESUMO!$I$2:$I$100)*(M110&gt;=RESUMO!$K$2:$K$100)*(M110&lt;=RESUMO!$L$2:$L$100),
0)), "R$ ", ""))
))))</f>
        <v>0</v>
      </c>
      <c r="P110" s="9"/>
      <c r="Q110" s="10" t="e">
        <f t="shared" si="34"/>
        <v>#DIV/0!</v>
      </c>
      <c r="R110" s="5">
        <f t="shared" si="9"/>
        <v>635.21149999999989</v>
      </c>
      <c r="S110" s="5">
        <f t="shared" si="10"/>
        <v>635.21149999999989</v>
      </c>
      <c r="T110" s="5">
        <f t="shared" si="11"/>
        <v>0</v>
      </c>
      <c r="U110" s="5">
        <f t="shared" si="12"/>
        <v>0</v>
      </c>
    </row>
    <row r="111" spans="1:21" x14ac:dyDescent="0.25">
      <c r="A111" s="11"/>
      <c r="B111" s="6" t="s">
        <v>166</v>
      </c>
      <c r="C111" s="9">
        <v>0</v>
      </c>
      <c r="D111" s="6"/>
      <c r="E111" s="8">
        <v>0.04</v>
      </c>
      <c r="F111" s="49">
        <v>0</v>
      </c>
      <c r="G111" s="9"/>
      <c r="H111" s="9">
        <v>179</v>
      </c>
      <c r="I111" s="48">
        <v>0.12</v>
      </c>
      <c r="J111" s="78" cm="1">
        <f t="array" ref="J111">IF(H111&lt;12.5, H111/2,
IF(H111&lt;29, 6.25,
IF(H111&lt;50, 6.5,
IF(H111&lt;79, 6.75,
VALUE(SUBSTITUTE(
INDEX(RESUMO!$J$2:$J$100, MATCH(1,
(D111&gt;=RESUMO!$H$2:$H$100)*(D111&lt;=RESUMO!$I$2:$I$100)*(H111&gt;=RESUMO!$K$2:$K$100)*(H111&lt;=RESUMO!$L$2:$L$100),
0)), "R$ ", ""))
))))</f>
        <v>17.95</v>
      </c>
      <c r="K111" s="78">
        <v>0</v>
      </c>
      <c r="L111" s="10">
        <f t="shared" si="33"/>
        <v>0.77972067039106152</v>
      </c>
      <c r="M111" s="7"/>
      <c r="N111" s="48"/>
      <c r="O111" s="78" cm="1">
        <f t="array" ref="O111">IF(M111&lt;12.5, 0,
IF(M111&lt;29, 6.25,
IF(M111&lt;50, 6.5,
IF(M111&lt;79, 6.75,
VALUE(SUBSTITUTE(
INDEX(RESUMO!$J$2:$J$100, MATCH(1,
(D111&gt;=RESUMO!$H$2:$H$100)*(D111&lt;=RESUMO!$I$2:$I$100)*(M111&gt;=RESUMO!$K$2:$K$100)*(M111&lt;=RESUMO!$L$2:$L$100),
0)), "R$ ", ""))
))))</f>
        <v>0</v>
      </c>
      <c r="P111" s="9"/>
      <c r="Q111" s="10" t="e">
        <f t="shared" si="34"/>
        <v>#DIV/0!</v>
      </c>
      <c r="R111" s="5">
        <f t="shared" si="9"/>
        <v>139.57000000000002</v>
      </c>
      <c r="S111" s="5">
        <f t="shared" si="10"/>
        <v>139.57000000000002</v>
      </c>
      <c r="T111" s="5">
        <f t="shared" si="11"/>
        <v>0</v>
      </c>
      <c r="U111" s="5">
        <f t="shared" si="12"/>
        <v>0</v>
      </c>
    </row>
    <row r="112" spans="1:21" x14ac:dyDescent="0.25">
      <c r="A112" s="11"/>
      <c r="B112" s="6" t="s">
        <v>167</v>
      </c>
      <c r="C112" s="9">
        <v>0</v>
      </c>
      <c r="D112" s="6"/>
      <c r="E112" s="8">
        <v>0.04</v>
      </c>
      <c r="F112" s="49">
        <v>0</v>
      </c>
      <c r="G112" s="9"/>
      <c r="H112" s="9">
        <v>189</v>
      </c>
      <c r="I112" s="48">
        <v>0.115</v>
      </c>
      <c r="J112" s="78" cm="1">
        <f t="array" ref="J112">IF(H112&lt;12.5, H112/2,
IF(H112&lt;29, 6.25,
IF(H112&lt;50, 6.5,
IF(H112&lt;79, 6.75,
VALUE(SUBSTITUTE(
INDEX(RESUMO!$J$2:$J$100, MATCH(1,
(D112&gt;=RESUMO!$H$2:$H$100)*(D112&lt;=RESUMO!$I$2:$I$100)*(H112&gt;=RESUMO!$K$2:$K$100)*(H112&lt;=RESUMO!$L$2:$L$100),
0)), "R$ ", ""))
))))</f>
        <v>17.95</v>
      </c>
      <c r="K112" s="78">
        <v>0</v>
      </c>
      <c r="L112" s="10">
        <f t="shared" si="33"/>
        <v>0.79002645502645497</v>
      </c>
      <c r="M112" s="7"/>
      <c r="N112" s="48"/>
      <c r="O112" s="78" cm="1">
        <f t="array" ref="O112">IF(M112&lt;12.5, 0,
IF(M112&lt;29, 6.25,
IF(M112&lt;50, 6.5,
IF(M112&lt;79, 6.75,
VALUE(SUBSTITUTE(
INDEX(RESUMO!$J$2:$J$100, MATCH(1,
(D112&gt;=RESUMO!$H$2:$H$100)*(D112&lt;=RESUMO!$I$2:$I$100)*(M112&gt;=RESUMO!$K$2:$K$100)*(M112&lt;=RESUMO!$L$2:$L$100),
0)), "R$ ", ""))
))))</f>
        <v>0</v>
      </c>
      <c r="P112" s="9"/>
      <c r="Q112" s="10" t="e">
        <f t="shared" si="34"/>
        <v>#DIV/0!</v>
      </c>
      <c r="R112" s="5">
        <f t="shared" si="9"/>
        <v>149.315</v>
      </c>
      <c r="S112" s="5">
        <f t="shared" si="10"/>
        <v>149.315</v>
      </c>
      <c r="T112" s="5">
        <f t="shared" si="11"/>
        <v>0</v>
      </c>
      <c r="U112" s="5">
        <f t="shared" si="12"/>
        <v>0</v>
      </c>
    </row>
    <row r="113" spans="1:21" x14ac:dyDescent="0.25">
      <c r="A113" s="11"/>
      <c r="B113" s="6" t="s">
        <v>168</v>
      </c>
      <c r="C113" s="9">
        <v>0</v>
      </c>
      <c r="D113" s="6"/>
      <c r="E113" s="8">
        <v>0.04</v>
      </c>
      <c r="F113" s="49">
        <v>0</v>
      </c>
      <c r="G113" s="9"/>
      <c r="H113" s="9">
        <v>242</v>
      </c>
      <c r="I113" s="48">
        <v>0.14000000000000001</v>
      </c>
      <c r="J113" s="78" cm="1">
        <f t="array" ref="J113">IF(H113&lt;12.5, H113/2,
IF(H113&lt;29, 6.25,
IF(H113&lt;50, 6.5,
IF(H113&lt;79, 6.75,
VALUE(SUBSTITUTE(
INDEX(RESUMO!$J$2:$J$100, MATCH(1,
(D113&gt;=RESUMO!$H$2:$H$100)*(D113&lt;=RESUMO!$I$2:$I$100)*(H113&gt;=RESUMO!$K$2:$K$100)*(H113&lt;=RESUMO!$L$2:$L$100),
0)), "R$ ", ""))
))))</f>
        <v>19.95</v>
      </c>
      <c r="K113" s="78">
        <v>0</v>
      </c>
      <c r="L113" s="10">
        <f t="shared" si="33"/>
        <v>0.77756198347107441</v>
      </c>
      <c r="M113" s="7"/>
      <c r="N113" s="48"/>
      <c r="O113" s="78" cm="1">
        <f t="array" ref="O113">IF(M113&lt;12.5, 0,
IF(M113&lt;29, 6.25,
IF(M113&lt;50, 6.5,
IF(M113&lt;79, 6.75,
VALUE(SUBSTITUTE(
INDEX(RESUMO!$J$2:$J$100, MATCH(1,
(D113&gt;=RESUMO!$H$2:$H$100)*(D113&lt;=RESUMO!$I$2:$I$100)*(M113&gt;=RESUMO!$K$2:$K$100)*(M113&lt;=RESUMO!$L$2:$L$100),
0)), "R$ ", ""))
))))</f>
        <v>0</v>
      </c>
      <c r="P113" s="9"/>
      <c r="Q113" s="10" t="e">
        <f t="shared" si="34"/>
        <v>#DIV/0!</v>
      </c>
      <c r="R113" s="5">
        <f t="shared" si="9"/>
        <v>188.17000000000002</v>
      </c>
      <c r="S113" s="5">
        <f t="shared" si="10"/>
        <v>188.17000000000002</v>
      </c>
      <c r="T113" s="5">
        <f t="shared" si="11"/>
        <v>0</v>
      </c>
      <c r="U113" s="5">
        <f t="shared" si="12"/>
        <v>0</v>
      </c>
    </row>
    <row r="114" spans="1:21" x14ac:dyDescent="0.25">
      <c r="A114" s="11"/>
      <c r="B114" s="6" t="s">
        <v>169</v>
      </c>
      <c r="C114" s="9">
        <v>0</v>
      </c>
      <c r="D114" s="6"/>
      <c r="E114" s="8">
        <v>0.04</v>
      </c>
      <c r="F114" s="49">
        <v>0</v>
      </c>
      <c r="G114" s="9"/>
      <c r="H114" s="9">
        <v>245</v>
      </c>
      <c r="I114" s="48">
        <v>0.12</v>
      </c>
      <c r="J114" s="78" cm="1">
        <f t="array" ref="J114">IF(H114&lt;12.5, H114/2,
IF(H114&lt;29, 6.25,
IF(H114&lt;50, 6.5,
IF(H114&lt;79, 6.75,
VALUE(SUBSTITUTE(
INDEX(RESUMO!$J$2:$J$100, MATCH(1,
(D114&gt;=RESUMO!$H$2:$H$100)*(D114&lt;=RESUMO!$I$2:$I$100)*(H114&gt;=RESUMO!$K$2:$K$100)*(H114&lt;=RESUMO!$L$2:$L$100),
0)), "R$ ", ""))
))))</f>
        <v>19.95</v>
      </c>
      <c r="K114" s="78">
        <v>0</v>
      </c>
      <c r="L114" s="10">
        <f t="shared" si="33"/>
        <v>0.7985714285714286</v>
      </c>
      <c r="M114" s="7"/>
      <c r="N114" s="48"/>
      <c r="O114" s="78" cm="1">
        <f t="array" ref="O114">IF(M114&lt;12.5, 0,
IF(M114&lt;29, 6.25,
IF(M114&lt;50, 6.5,
IF(M114&lt;79, 6.75,
VALUE(SUBSTITUTE(
INDEX(RESUMO!$J$2:$J$100, MATCH(1,
(D114&gt;=RESUMO!$H$2:$H$100)*(D114&lt;=RESUMO!$I$2:$I$100)*(M114&gt;=RESUMO!$K$2:$K$100)*(M114&lt;=RESUMO!$L$2:$L$100),
0)), "R$ ", ""))
))))</f>
        <v>0</v>
      </c>
      <c r="P114" s="9"/>
      <c r="Q114" s="10" t="e">
        <f t="shared" si="34"/>
        <v>#DIV/0!</v>
      </c>
      <c r="R114" s="5">
        <f t="shared" si="9"/>
        <v>195.65</v>
      </c>
      <c r="S114" s="5">
        <f t="shared" si="10"/>
        <v>195.65</v>
      </c>
      <c r="T114" s="5">
        <f t="shared" si="11"/>
        <v>0</v>
      </c>
      <c r="U114" s="5">
        <f t="shared" si="12"/>
        <v>0</v>
      </c>
    </row>
    <row r="115" spans="1:21" x14ac:dyDescent="0.25">
      <c r="A115" s="11" t="s">
        <v>35</v>
      </c>
      <c r="B115" s="6" t="s">
        <v>170</v>
      </c>
      <c r="C115" s="9">
        <v>560.88</v>
      </c>
      <c r="D115" s="6">
        <v>9</v>
      </c>
      <c r="E115" s="8">
        <v>0.04</v>
      </c>
      <c r="F115" s="49">
        <v>0</v>
      </c>
      <c r="G115" s="9">
        <v>2</v>
      </c>
      <c r="H115" s="9">
        <v>749</v>
      </c>
      <c r="I115" s="48">
        <v>0.11</v>
      </c>
      <c r="J115" s="78" cm="1">
        <f t="array" ref="J115">IF(H115&lt;12.5, H115/2,
IF(H115&lt;29, 6.25,
IF(H115&lt;50, 6.5,
IF(H115&lt;79, 6.75,
VALUE(SUBSTITUTE(
INDEX(RESUMO!$J$2:$J$100, MATCH(1,
(D115&gt;=RESUMO!$H$2:$H$100)*(D115&lt;=RESUMO!$I$2:$I$100)*(H115&gt;=RESUMO!$K$2:$K$100)*(H115&lt;=RESUMO!$L$2:$L$100),
0)), "R$ ", ""))
))))</f>
        <v>44.45</v>
      </c>
      <c r="K115" s="78">
        <v>0</v>
      </c>
      <c r="L115" s="10">
        <f t="shared" si="33"/>
        <v>5.1862216288384465E-2</v>
      </c>
      <c r="M115" s="7">
        <v>915</v>
      </c>
      <c r="N115" s="48">
        <v>0.16</v>
      </c>
      <c r="O115" s="78" cm="1">
        <f t="array" ref="O115">IF(M115&lt;12.5, 0,
IF(M115&lt;29, 6.25,
IF(M115&lt;50, 6.5,
IF(M115&lt;79, 6.75,
VALUE(SUBSTITUTE(
INDEX(RESUMO!$J$2:$J$100, MATCH(1,
(D115&gt;=RESUMO!$H$2:$H$100)*(D115&lt;=RESUMO!$I$2:$I$100)*(M115&gt;=RESUMO!$K$2:$K$100)*(M115&lt;=RESUMO!$L$2:$L$100),
0)), "R$ ", ""))
))))</f>
        <v>44.45</v>
      </c>
      <c r="P115" s="9">
        <v>0</v>
      </c>
      <c r="Q115" s="10">
        <f t="shared" si="34"/>
        <v>0.15391781420765024</v>
      </c>
      <c r="R115" s="5">
        <f t="shared" si="9"/>
        <v>599.72479999999996</v>
      </c>
      <c r="S115" s="5">
        <f t="shared" si="10"/>
        <v>38.844799999999964</v>
      </c>
      <c r="T115" s="5">
        <f t="shared" si="11"/>
        <v>701.71479999999997</v>
      </c>
      <c r="U115" s="5">
        <f t="shared" si="12"/>
        <v>140.83479999999997</v>
      </c>
    </row>
    <row r="116" spans="1:21" x14ac:dyDescent="0.25">
      <c r="A116" s="11" t="s">
        <v>35</v>
      </c>
      <c r="B116" s="6" t="s">
        <v>171</v>
      </c>
      <c r="C116" s="9">
        <v>1274.54</v>
      </c>
      <c r="D116" s="6"/>
      <c r="E116" s="8">
        <v>0.04</v>
      </c>
      <c r="F116" s="49">
        <v>0</v>
      </c>
      <c r="G116" s="9"/>
      <c r="H116" s="9">
        <v>1915</v>
      </c>
      <c r="I116" s="48">
        <v>0.11</v>
      </c>
      <c r="J116" s="78" cm="1">
        <f t="array" ref="J116">IF(H116&lt;12.5, H116/2,
IF(H116&lt;29, 6.25,
IF(H116&lt;50, 6.5,
IF(H116&lt;79, 6.75,
VALUE(SUBSTITUTE(
INDEX(RESUMO!$J$2:$J$100, MATCH(1,
(D116&gt;=RESUMO!$H$2:$H$100)*(D116&lt;=RESUMO!$I$2:$I$100)*(H116&gt;=RESUMO!$K$2:$K$100)*(H116&lt;=RESUMO!$L$2:$L$100),
0)), "R$ ", ""))
))))</f>
        <v>19.95</v>
      </c>
      <c r="K116" s="78">
        <v>0</v>
      </c>
      <c r="L116" s="10">
        <f t="shared" si="33"/>
        <v>0.18740386422976493</v>
      </c>
      <c r="M116" s="7">
        <v>2049</v>
      </c>
      <c r="N116" s="48">
        <v>0.16</v>
      </c>
      <c r="O116" s="78" cm="1">
        <f t="array" ref="O116">IF(M116&lt;12.5, 0,
IF(M116&lt;29, 6.25,
IF(M116&lt;50, 6.5,
IF(M116&lt;79, 6.75,
VALUE(SUBSTITUTE(
INDEX(RESUMO!$J$2:$J$100, MATCH(1,
(D116&gt;=RESUMO!$H$2:$H$100)*(D116&lt;=RESUMO!$I$2:$I$100)*(M116&gt;=RESUMO!$K$2:$K$100)*(M116&lt;=RESUMO!$L$2:$L$100),
0)), "R$ ", ""))
))))</f>
        <v>19.95</v>
      </c>
      <c r="P116" s="9">
        <v>0</v>
      </c>
      <c r="Q116" s="10">
        <f t="shared" si="34"/>
        <v>0.18335207418252794</v>
      </c>
      <c r="R116" s="5">
        <f t="shared" ref="R116:R178" si="35">(H116-(H116*I116)-J116-(C116*E116)+K116)</f>
        <v>1633.4183999999998</v>
      </c>
      <c r="S116" s="5">
        <f t="shared" ref="S116:S178" si="36">R116-(C116-F116)</f>
        <v>358.87839999999983</v>
      </c>
      <c r="T116" s="5">
        <f t="shared" ref="T116:T178" si="37">(M116-(M116*N116)-O116-(C116*E116)+P116)</f>
        <v>1650.2283999999997</v>
      </c>
      <c r="U116" s="5">
        <f t="shared" ref="U116:U178" si="38">T116-(C116-F116)</f>
        <v>375.68839999999977</v>
      </c>
    </row>
    <row r="117" spans="1:21" x14ac:dyDescent="0.25">
      <c r="A117" s="11" t="s">
        <v>35</v>
      </c>
      <c r="B117" s="6" t="s">
        <v>172</v>
      </c>
      <c r="C117" s="9">
        <v>445.29</v>
      </c>
      <c r="D117" s="6"/>
      <c r="E117" s="8">
        <v>0.04</v>
      </c>
      <c r="F117" s="49">
        <v>0</v>
      </c>
      <c r="G117" s="9"/>
      <c r="H117" s="9">
        <v>725</v>
      </c>
      <c r="I117" s="48">
        <v>0.11</v>
      </c>
      <c r="J117" s="78" cm="1">
        <f t="array" ref="J117">IF(H117&lt;12.5, H117/2,
IF(H117&lt;29, 6.25,
IF(H117&lt;50, 6.5,
IF(H117&lt;79, 6.75,
VALUE(SUBSTITUTE(
INDEX(RESUMO!$J$2:$J$100, MATCH(1,
(D117&gt;=RESUMO!$H$2:$H$100)*(D117&lt;=RESUMO!$I$2:$I$100)*(H117&gt;=RESUMO!$K$2:$K$100)*(H117&lt;=RESUMO!$L$2:$L$100),
0)), "R$ ", ""))
))))</f>
        <v>19.95</v>
      </c>
      <c r="K117" s="78">
        <v>0</v>
      </c>
      <c r="L117" s="10">
        <f t="shared" si="33"/>
        <v>0.22372193103448268</v>
      </c>
      <c r="M117" s="7">
        <v>775</v>
      </c>
      <c r="N117" s="48">
        <v>0.16</v>
      </c>
      <c r="O117" s="78" cm="1">
        <f t="array" ref="O117">IF(M117&lt;12.5, 0,
IF(M117&lt;29, 6.25,
IF(M117&lt;50, 6.5,
IF(M117&lt;79, 6.75,
VALUE(SUBSTITUTE(
INDEX(RESUMO!$J$2:$J$100, MATCH(1,
(D117&gt;=RESUMO!$H$2:$H$100)*(D117&lt;=RESUMO!$I$2:$I$100)*(M117&gt;=RESUMO!$K$2:$K$100)*(M117&lt;=RESUMO!$L$2:$L$100),
0)), "R$ ", ""))
))))</f>
        <v>19.95</v>
      </c>
      <c r="P117" s="9">
        <v>0</v>
      </c>
      <c r="Q117" s="10">
        <f t="shared" si="34"/>
        <v>0.21670761290322571</v>
      </c>
      <c r="R117" s="5">
        <f t="shared" si="35"/>
        <v>607.48839999999996</v>
      </c>
      <c r="S117" s="5">
        <f t="shared" si="36"/>
        <v>162.19839999999994</v>
      </c>
      <c r="T117" s="5">
        <f t="shared" si="37"/>
        <v>613.23839999999996</v>
      </c>
      <c r="U117" s="5">
        <f t="shared" si="38"/>
        <v>167.94839999999994</v>
      </c>
    </row>
    <row r="118" spans="1:21" x14ac:dyDescent="0.25">
      <c r="A118" s="11" t="s">
        <v>35</v>
      </c>
      <c r="B118" s="6" t="s">
        <v>173</v>
      </c>
      <c r="C118" s="9">
        <v>784.06</v>
      </c>
      <c r="D118" s="6"/>
      <c r="E118" s="8">
        <v>0.04</v>
      </c>
      <c r="F118" s="49">
        <v>0</v>
      </c>
      <c r="G118" s="9"/>
      <c r="H118" s="9">
        <v>1199</v>
      </c>
      <c r="I118" s="48">
        <v>0.11</v>
      </c>
      <c r="J118" s="78" cm="1">
        <f t="array" ref="J118">IF(H118&lt;12.5, H118/2,
IF(H118&lt;29, 6.25,
IF(H118&lt;50, 6.5,
IF(H118&lt;79, 6.75,
VALUE(SUBSTITUTE(
INDEX(RESUMO!$J$2:$J$100, MATCH(1,
(D118&gt;=RESUMO!$H$2:$H$100)*(D118&lt;=RESUMO!$I$2:$I$100)*(H118&gt;=RESUMO!$K$2:$K$100)*(H118&lt;=RESUMO!$L$2:$L$100),
0)), "R$ ", ""))
))))</f>
        <v>19.95</v>
      </c>
      <c r="K118" s="78">
        <v>0</v>
      </c>
      <c r="L118" s="10">
        <f t="shared" si="33"/>
        <v>0.19327572977481228</v>
      </c>
      <c r="M118" s="7">
        <v>1299</v>
      </c>
      <c r="N118" s="48">
        <v>0.16</v>
      </c>
      <c r="O118" s="78" cm="1">
        <f t="array" ref="O118">IF(M118&lt;12.5, 0,
IF(M118&lt;29, 6.25,
IF(M118&lt;50, 6.5,
IF(M118&lt;79, 6.75,
VALUE(SUBSTITUTE(
INDEX(RESUMO!$J$2:$J$100, MATCH(1,
(D118&gt;=RESUMO!$H$2:$H$100)*(D118&lt;=RESUMO!$I$2:$I$100)*(M118&gt;=RESUMO!$K$2:$K$100)*(M118&lt;=RESUMO!$L$2:$L$100),
0)), "R$ ", ""))
))))</f>
        <v>19.95</v>
      </c>
      <c r="P118" s="9">
        <v>0</v>
      </c>
      <c r="Q118" s="10">
        <f t="shared" si="34"/>
        <v>0.19691116243264059</v>
      </c>
      <c r="R118" s="5">
        <f t="shared" si="35"/>
        <v>1015.7975999999999</v>
      </c>
      <c r="S118" s="5">
        <f t="shared" si="36"/>
        <v>231.73759999999993</v>
      </c>
      <c r="T118" s="5">
        <f t="shared" si="37"/>
        <v>1039.8476000000001</v>
      </c>
      <c r="U118" s="5">
        <f t="shared" si="38"/>
        <v>255.78760000000011</v>
      </c>
    </row>
    <row r="119" spans="1:21" x14ac:dyDescent="0.25">
      <c r="A119" s="11" t="s">
        <v>35</v>
      </c>
      <c r="B119" s="6" t="s">
        <v>174</v>
      </c>
      <c r="C119" s="9">
        <v>473.9</v>
      </c>
      <c r="D119" s="6"/>
      <c r="E119" s="8">
        <v>0.04</v>
      </c>
      <c r="F119" s="49">
        <v>0</v>
      </c>
      <c r="G119" s="9"/>
      <c r="H119" s="9">
        <v>765</v>
      </c>
      <c r="I119" s="48">
        <v>0.11</v>
      </c>
      <c r="J119" s="78" cm="1">
        <f t="array" ref="J119">IF(H119&lt;12.5, H119/2,
IF(H119&lt;29, 6.25,
IF(H119&lt;50, 6.5,
IF(H119&lt;79, 6.75,
VALUE(SUBSTITUTE(
INDEX(RESUMO!$J$2:$J$100, MATCH(1,
(D119&gt;=RESUMO!$H$2:$H$100)*(D119&lt;=RESUMO!$I$2:$I$100)*(H119&gt;=RESUMO!$K$2:$K$100)*(H119&lt;=RESUMO!$L$2:$L$100),
0)), "R$ ", ""))
))))</f>
        <v>19.95</v>
      </c>
      <c r="K119" s="78">
        <v>0</v>
      </c>
      <c r="L119" s="10">
        <f t="shared" si="33"/>
        <v>0.21966535947712415</v>
      </c>
      <c r="M119" s="7">
        <v>825</v>
      </c>
      <c r="N119" s="48">
        <v>0.16</v>
      </c>
      <c r="O119" s="78" cm="1">
        <f t="array" ref="O119">IF(M119&lt;12.5, 0,
IF(M119&lt;29, 6.25,
IF(M119&lt;50, 6.5,
IF(M119&lt;79, 6.75,
VALUE(SUBSTITUTE(
INDEX(RESUMO!$J$2:$J$100, MATCH(1,
(D119&gt;=RESUMO!$H$2:$H$100)*(D119&lt;=RESUMO!$I$2:$I$100)*(M119&gt;=RESUMO!$K$2:$K$100)*(M119&lt;=RESUMO!$L$2:$L$100),
0)), "R$ ", ""))
))))</f>
        <v>19.95</v>
      </c>
      <c r="P119" s="9">
        <v>0</v>
      </c>
      <c r="Q119" s="10">
        <f t="shared" si="34"/>
        <v>0.21841696969696964</v>
      </c>
      <c r="R119" s="5">
        <f t="shared" si="35"/>
        <v>641.94399999999996</v>
      </c>
      <c r="S119" s="5">
        <f t="shared" si="36"/>
        <v>168.04399999999998</v>
      </c>
      <c r="T119" s="5">
        <f t="shared" si="37"/>
        <v>654.09399999999994</v>
      </c>
      <c r="U119" s="5">
        <f t="shared" si="38"/>
        <v>180.19399999999996</v>
      </c>
    </row>
    <row r="120" spans="1:21" x14ac:dyDescent="0.25">
      <c r="A120" s="11" t="s">
        <v>35</v>
      </c>
      <c r="B120" s="6" t="s">
        <v>175</v>
      </c>
      <c r="C120" s="9">
        <v>392.93</v>
      </c>
      <c r="D120" s="6"/>
      <c r="E120" s="8">
        <v>0.04</v>
      </c>
      <c r="F120" s="49">
        <v>0</v>
      </c>
      <c r="G120" s="9"/>
      <c r="H120" s="9">
        <v>649</v>
      </c>
      <c r="I120" s="48">
        <v>0.11</v>
      </c>
      <c r="J120" s="78" cm="1">
        <f t="array" ref="J120">IF(H120&lt;12.5, H120/2,
IF(H120&lt;29, 6.25,
IF(H120&lt;50, 6.5,
IF(H120&lt;79, 6.75,
VALUE(SUBSTITUTE(
INDEX(RESUMO!$J$2:$J$100, MATCH(1,
(D120&gt;=RESUMO!$H$2:$H$100)*(D120&lt;=RESUMO!$I$2:$I$100)*(H120&gt;=RESUMO!$K$2:$K$100)*(H120&lt;=RESUMO!$L$2:$L$100),
0)), "R$ ", ""))
))))</f>
        <v>19.95</v>
      </c>
      <c r="K120" s="78">
        <v>0</v>
      </c>
      <c r="L120" s="10">
        <f t="shared" si="33"/>
        <v>0.22960369799691821</v>
      </c>
      <c r="M120" s="7">
        <v>699</v>
      </c>
      <c r="N120" s="48">
        <v>0.16</v>
      </c>
      <c r="O120" s="78" cm="1">
        <f t="array" ref="O120">IF(M120&lt;12.5, 0,
IF(M120&lt;29, 6.25,
IF(M120&lt;50, 6.5,
IF(M120&lt;79, 6.75,
VALUE(SUBSTITUTE(
INDEX(RESUMO!$J$2:$J$100, MATCH(1,
(D120&gt;=RESUMO!$H$2:$H$100)*(D120&lt;=RESUMO!$I$2:$I$100)*(M120&gt;=RESUMO!$K$2:$K$100)*(M120&lt;=RESUMO!$L$2:$L$100),
0)), "R$ ", ""))
))))</f>
        <v>19.95</v>
      </c>
      <c r="P120" s="9">
        <v>0</v>
      </c>
      <c r="Q120" s="10">
        <f t="shared" si="34"/>
        <v>0.22684234620886962</v>
      </c>
      <c r="R120" s="5">
        <f t="shared" si="35"/>
        <v>541.94279999999992</v>
      </c>
      <c r="S120" s="5">
        <f t="shared" si="36"/>
        <v>149.01279999999991</v>
      </c>
      <c r="T120" s="5">
        <f t="shared" si="37"/>
        <v>551.49279999999987</v>
      </c>
      <c r="U120" s="5">
        <f t="shared" si="38"/>
        <v>158.56279999999987</v>
      </c>
    </row>
    <row r="121" spans="1:21" x14ac:dyDescent="0.25">
      <c r="A121" s="11" t="s">
        <v>35</v>
      </c>
      <c r="B121" s="6" t="s">
        <v>176</v>
      </c>
      <c r="C121" s="9">
        <v>862.51</v>
      </c>
      <c r="D121" s="6"/>
      <c r="E121" s="8">
        <v>0.04</v>
      </c>
      <c r="F121" s="49">
        <v>0</v>
      </c>
      <c r="G121" s="9"/>
      <c r="H121" s="9">
        <v>1349</v>
      </c>
      <c r="I121" s="48">
        <v>0.11</v>
      </c>
      <c r="J121" s="78" cm="1">
        <f t="array" ref="J121">IF(H121&lt;12.5, H121/2,
IF(H121&lt;29, 6.25,
IF(H121&lt;50, 6.5,
IF(H121&lt;79, 6.75,
VALUE(SUBSTITUTE(
INDEX(RESUMO!$J$2:$J$100, MATCH(1,
(D121&gt;=RESUMO!$H$2:$H$100)*(D121&lt;=RESUMO!$I$2:$I$100)*(H121&gt;=RESUMO!$K$2:$K$100)*(H121&lt;=RESUMO!$L$2:$L$100),
0)), "R$ ", ""))
))))</f>
        <v>19.95</v>
      </c>
      <c r="K121" s="78">
        <v>0</v>
      </c>
      <c r="L121" s="10">
        <f t="shared" si="33"/>
        <v>0.21026656782802072</v>
      </c>
      <c r="M121" s="7">
        <v>1399</v>
      </c>
      <c r="N121" s="48">
        <v>0.16</v>
      </c>
      <c r="O121" s="78" cm="1">
        <f t="array" ref="O121">IF(M121&lt;12.5, 0,
IF(M121&lt;29, 6.25,
IF(M121&lt;50, 6.5,
IF(M121&lt;79, 6.75,
VALUE(SUBSTITUTE(
INDEX(RESUMO!$J$2:$J$100, MATCH(1,
(D121&gt;=RESUMO!$H$2:$H$100)*(D121&lt;=RESUMO!$I$2:$I$100)*(M121&gt;=RESUMO!$K$2:$K$100)*(M121&lt;=RESUMO!$L$2:$L$100),
0)), "R$ ", ""))
))))</f>
        <v>19.95</v>
      </c>
      <c r="P121" s="9">
        <v>0</v>
      </c>
      <c r="Q121" s="10">
        <f t="shared" si="34"/>
        <v>0.18456011436740538</v>
      </c>
      <c r="R121" s="5">
        <f t="shared" si="35"/>
        <v>1146.1596</v>
      </c>
      <c r="S121" s="5">
        <f t="shared" si="36"/>
        <v>283.64959999999996</v>
      </c>
      <c r="T121" s="5">
        <f t="shared" si="37"/>
        <v>1120.7096000000001</v>
      </c>
      <c r="U121" s="5">
        <f t="shared" si="38"/>
        <v>258.19960000000015</v>
      </c>
    </row>
    <row r="122" spans="1:21" x14ac:dyDescent="0.25">
      <c r="A122" s="11" t="s">
        <v>35</v>
      </c>
      <c r="B122" s="6" t="s">
        <v>177</v>
      </c>
      <c r="C122" s="9">
        <v>392.93</v>
      </c>
      <c r="D122" s="6"/>
      <c r="E122" s="8">
        <v>0.04</v>
      </c>
      <c r="F122" s="49">
        <v>0</v>
      </c>
      <c r="G122" s="9"/>
      <c r="H122" s="9"/>
      <c r="I122" s="48"/>
      <c r="J122" s="78" cm="1">
        <f t="array" ref="J122">IF(H122&lt;12.5, H122/2,
IF(H122&lt;29, 6.25,
IF(H122&lt;50, 6.5,
IF(H122&lt;79, 6.75,
VALUE(SUBSTITUTE(
INDEX(RESUMO!$J$2:$J$100, MATCH(1,
(D122&gt;=RESUMO!$H$2:$H$100)*(D122&lt;=RESUMO!$I$2:$I$100)*(H122&gt;=RESUMO!$K$2:$K$100)*(H122&lt;=RESUMO!$L$2:$L$100),
0)), "R$ ", ""))
))))</f>
        <v>0</v>
      </c>
      <c r="K122" s="78">
        <v>0</v>
      </c>
      <c r="L122" s="10" t="e">
        <f t="shared" ref="L122" si="39">S122/H122</f>
        <v>#DIV/0!</v>
      </c>
      <c r="M122" s="7"/>
      <c r="N122" s="48"/>
      <c r="O122" s="78" cm="1">
        <f t="array" ref="O122">IF(M122&lt;12.5, 0,
IF(M122&lt;29, 6.25,
IF(M122&lt;50, 6.5,
IF(M122&lt;79, 6.75,
VALUE(SUBSTITUTE(
INDEX(RESUMO!$J$2:$J$100, MATCH(1,
(D122&gt;=RESUMO!$H$2:$H$100)*(D122&lt;=RESUMO!$I$2:$I$100)*(M122&gt;=RESUMO!$K$2:$K$100)*(M122&lt;=RESUMO!$L$2:$L$100),
0)), "R$ ", ""))
))))</f>
        <v>0</v>
      </c>
      <c r="P122" s="9">
        <v>0</v>
      </c>
      <c r="Q122" s="10" t="e">
        <f t="shared" ref="Q122" si="40">U122/M122</f>
        <v>#DIV/0!</v>
      </c>
      <c r="R122" s="5">
        <f t="shared" si="35"/>
        <v>-15.7172</v>
      </c>
      <c r="S122" s="5">
        <f t="shared" si="36"/>
        <v>-408.6472</v>
      </c>
      <c r="T122" s="5">
        <f t="shared" si="37"/>
        <v>-15.7172</v>
      </c>
      <c r="U122" s="5">
        <f t="shared" si="38"/>
        <v>-408.6472</v>
      </c>
    </row>
    <row r="123" spans="1:21" x14ac:dyDescent="0.25">
      <c r="A123" s="11" t="s">
        <v>3</v>
      </c>
      <c r="B123" s="6" t="s">
        <v>178</v>
      </c>
      <c r="C123" s="9">
        <v>379.63</v>
      </c>
      <c r="D123" s="6"/>
      <c r="E123" s="8">
        <v>0.04</v>
      </c>
      <c r="F123" s="49">
        <v>0</v>
      </c>
      <c r="G123" s="9"/>
      <c r="H123" s="9">
        <v>549</v>
      </c>
      <c r="I123" s="48">
        <v>0.11</v>
      </c>
      <c r="J123" s="78" cm="1">
        <f t="array" ref="J123">IF(H123&lt;12.5, H123/2,
IF(H123&lt;29, 6.25,
IF(H123&lt;50, 6.5,
IF(H123&lt;79, 6.75,
VALUE(SUBSTITUTE(
INDEX(RESUMO!$J$2:$J$100, MATCH(1,
(D123&gt;=RESUMO!$H$2:$H$100)*(D123&lt;=RESUMO!$I$2:$I$100)*(H123&gt;=RESUMO!$K$2:$K$100)*(H123&lt;=RESUMO!$L$2:$L$100),
0)), "R$ ", ""))
))))</f>
        <v>19.95</v>
      </c>
      <c r="K123" s="78">
        <v>0</v>
      </c>
      <c r="L123" s="10">
        <f t="shared" si="33"/>
        <v>0.13450783242258657</v>
      </c>
      <c r="M123" s="7">
        <v>599</v>
      </c>
      <c r="N123" s="48">
        <v>0.16</v>
      </c>
      <c r="O123" s="78" cm="1">
        <f t="array" ref="O123">IF(M123&lt;12.5, 0,
IF(M123&lt;29, 6.25,
IF(M123&lt;50, 6.5,
IF(M123&lt;79, 6.75,
VALUE(SUBSTITUTE(
INDEX(RESUMO!$J$2:$J$100, MATCH(1,
(D123&gt;=RESUMO!$H$2:$H$100)*(D123&lt;=RESUMO!$I$2:$I$100)*(M123&gt;=RESUMO!$K$2:$K$100)*(M123&lt;=RESUMO!$L$2:$L$100),
0)), "R$ ", ""))
))))</f>
        <v>19.95</v>
      </c>
      <c r="P123" s="9">
        <v>0</v>
      </c>
      <c r="Q123" s="10">
        <f t="shared" si="34"/>
        <v>0.14757061769616023</v>
      </c>
      <c r="R123" s="5">
        <f t="shared" si="35"/>
        <v>453.47480000000002</v>
      </c>
      <c r="S123" s="5">
        <f t="shared" si="36"/>
        <v>73.844800000000021</v>
      </c>
      <c r="T123" s="5">
        <f t="shared" si="37"/>
        <v>468.02479999999997</v>
      </c>
      <c r="U123" s="5">
        <f t="shared" si="38"/>
        <v>88.394799999999975</v>
      </c>
    </row>
    <row r="124" spans="1:21" x14ac:dyDescent="0.25">
      <c r="A124" s="11" t="s">
        <v>41</v>
      </c>
      <c r="B124" s="6" t="s">
        <v>179</v>
      </c>
      <c r="C124" s="9">
        <v>0</v>
      </c>
      <c r="D124" s="6"/>
      <c r="E124" s="8">
        <v>0.04</v>
      </c>
      <c r="F124" s="49">
        <v>0</v>
      </c>
      <c r="G124" s="9"/>
      <c r="H124" s="9">
        <v>109.9</v>
      </c>
      <c r="I124" s="48">
        <v>0.12</v>
      </c>
      <c r="J124" s="78" cm="1">
        <f t="array" ref="J124">IF(H124&lt;12.5, H124/2,
IF(H124&lt;29, 6.25,
IF(H124&lt;50, 6.5,
IF(H124&lt;79, 6.75,
VALUE(SUBSTITUTE(
INDEX(RESUMO!$J$2:$J$100, MATCH(1,
(D124&gt;=RESUMO!$H$2:$H$100)*(D124&lt;=RESUMO!$I$2:$I$100)*(H124&gt;=RESUMO!$K$2:$K$100)*(H124&lt;=RESUMO!$L$2:$L$100),
0)), "R$ ", ""))
))))</f>
        <v>13.97</v>
      </c>
      <c r="K124" s="78">
        <v>0</v>
      </c>
      <c r="L124" s="10">
        <f t="shared" si="33"/>
        <v>0.75288444040036395</v>
      </c>
      <c r="M124" s="7"/>
      <c r="N124" s="48"/>
      <c r="O124" s="78" cm="1">
        <f t="array" ref="O124">IF(M124&lt;12.5, 0,
IF(M124&lt;29, 6.25,
IF(M124&lt;50, 6.5,
IF(M124&lt;79, 6.75,
VALUE(SUBSTITUTE(
INDEX(RESUMO!$J$2:$J$100, MATCH(1,
(D124&gt;=RESUMO!$H$2:$H$100)*(D124&lt;=RESUMO!$I$2:$I$100)*(M124&gt;=RESUMO!$K$2:$K$100)*(M124&lt;=RESUMO!$L$2:$L$100),
0)), "R$ ", ""))
))))</f>
        <v>0</v>
      </c>
      <c r="P124" s="9"/>
      <c r="Q124" s="10" t="e">
        <f t="shared" si="34"/>
        <v>#DIV/0!</v>
      </c>
      <c r="R124" s="5">
        <f t="shared" si="35"/>
        <v>82.742000000000004</v>
      </c>
      <c r="S124" s="5">
        <f t="shared" si="36"/>
        <v>82.742000000000004</v>
      </c>
      <c r="T124" s="5">
        <f t="shared" si="37"/>
        <v>0</v>
      </c>
      <c r="U124" s="5">
        <f t="shared" si="38"/>
        <v>0</v>
      </c>
    </row>
    <row r="125" spans="1:21" x14ac:dyDescent="0.25">
      <c r="A125" s="11" t="s">
        <v>41</v>
      </c>
      <c r="B125" s="6" t="s">
        <v>180</v>
      </c>
      <c r="C125" s="9">
        <v>0</v>
      </c>
      <c r="D125" s="6"/>
      <c r="E125" s="8">
        <v>0.04</v>
      </c>
      <c r="F125" s="49">
        <v>0</v>
      </c>
      <c r="G125" s="9"/>
      <c r="H125" s="9">
        <v>119.9</v>
      </c>
      <c r="I125" s="48">
        <v>0.115</v>
      </c>
      <c r="J125" s="78" cm="1">
        <f t="array" ref="J125">IF(H125&lt;12.5, H125/2,
IF(H125&lt;29, 6.25,
IF(H125&lt;50, 6.5,
IF(H125&lt;79, 6.75,
VALUE(SUBSTITUTE(
INDEX(RESUMO!$J$2:$J$100, MATCH(1,
(D125&gt;=RESUMO!$H$2:$H$100)*(D125&lt;=RESUMO!$I$2:$I$100)*(H125&gt;=RESUMO!$K$2:$K$100)*(H125&lt;=RESUMO!$L$2:$L$100),
0)), "R$ ", ""))
))))</f>
        <v>13.97</v>
      </c>
      <c r="K125" s="78">
        <v>0</v>
      </c>
      <c r="L125" s="10">
        <f t="shared" si="33"/>
        <v>0.76848623853211007</v>
      </c>
      <c r="M125" s="7"/>
      <c r="N125" s="48"/>
      <c r="O125" s="78" cm="1">
        <f t="array" ref="O125">IF(M125&lt;12.5, 0,
IF(M125&lt;29, 6.25,
IF(M125&lt;50, 6.5,
IF(M125&lt;79, 6.75,
VALUE(SUBSTITUTE(
INDEX(RESUMO!$J$2:$J$100, MATCH(1,
(D125&gt;=RESUMO!$H$2:$H$100)*(D125&lt;=RESUMO!$I$2:$I$100)*(M125&gt;=RESUMO!$K$2:$K$100)*(M125&lt;=RESUMO!$L$2:$L$100),
0)), "R$ ", ""))
))))</f>
        <v>0</v>
      </c>
      <c r="P125" s="9"/>
      <c r="Q125" s="10" t="e">
        <f t="shared" si="34"/>
        <v>#DIV/0!</v>
      </c>
      <c r="R125" s="5">
        <f t="shared" si="35"/>
        <v>92.141500000000008</v>
      </c>
      <c r="S125" s="5">
        <f t="shared" si="36"/>
        <v>92.141500000000008</v>
      </c>
      <c r="T125" s="5">
        <f t="shared" si="37"/>
        <v>0</v>
      </c>
      <c r="U125" s="5">
        <f t="shared" si="38"/>
        <v>0</v>
      </c>
    </row>
    <row r="126" spans="1:21" x14ac:dyDescent="0.25">
      <c r="A126" s="11" t="s">
        <v>41</v>
      </c>
      <c r="B126" s="6" t="s">
        <v>181</v>
      </c>
      <c r="C126" s="9">
        <v>0</v>
      </c>
      <c r="D126" s="6"/>
      <c r="E126" s="8">
        <v>0.04</v>
      </c>
      <c r="F126" s="49">
        <v>0</v>
      </c>
      <c r="G126" s="9"/>
      <c r="H126" s="9">
        <v>45</v>
      </c>
      <c r="I126" s="48">
        <v>0.115</v>
      </c>
      <c r="J126" s="78" cm="1">
        <f t="array" ref="J126">IF(H126&lt;12.5, H126/2,
IF(H126&lt;29, 6.25,
IF(H126&lt;50, 6.5,
IF(H126&lt;79, 6.75,
VALUE(SUBSTITUTE(
INDEX(RESUMO!$J$2:$J$100, MATCH(1,
(D126&gt;=RESUMO!$H$2:$H$100)*(D126&lt;=RESUMO!$I$2:$I$100)*(H126&gt;=RESUMO!$K$2:$K$100)*(H126&lt;=RESUMO!$L$2:$L$100),
0)), "R$ ", ""))
))))</f>
        <v>6.5</v>
      </c>
      <c r="K126" s="78">
        <v>0</v>
      </c>
      <c r="L126" s="10">
        <f t="shared" si="33"/>
        <v>0.74055555555555563</v>
      </c>
      <c r="M126" s="7"/>
      <c r="N126" s="48"/>
      <c r="O126" s="78" cm="1">
        <f t="array" ref="O126">IF(M126&lt;12.5, 0,
IF(M126&lt;29, 6.25,
IF(M126&lt;50, 6.5,
IF(M126&lt;79, 6.75,
VALUE(SUBSTITUTE(
INDEX(RESUMO!$J$2:$J$100, MATCH(1,
(D126&gt;=RESUMO!$H$2:$H$100)*(D126&lt;=RESUMO!$I$2:$I$100)*(M126&gt;=RESUMO!$K$2:$K$100)*(M126&lt;=RESUMO!$L$2:$L$100),
0)), "R$ ", ""))
))))</f>
        <v>0</v>
      </c>
      <c r="P126" s="9"/>
      <c r="Q126" s="10" t="e">
        <f t="shared" si="34"/>
        <v>#DIV/0!</v>
      </c>
      <c r="R126" s="5">
        <f t="shared" si="35"/>
        <v>33.325000000000003</v>
      </c>
      <c r="S126" s="5">
        <f t="shared" si="36"/>
        <v>33.325000000000003</v>
      </c>
      <c r="T126" s="5">
        <f t="shared" si="37"/>
        <v>0</v>
      </c>
      <c r="U126" s="5">
        <f t="shared" si="38"/>
        <v>0</v>
      </c>
    </row>
    <row r="127" spans="1:21" x14ac:dyDescent="0.25">
      <c r="A127" s="11" t="s">
        <v>41</v>
      </c>
      <c r="B127" s="6" t="s">
        <v>182</v>
      </c>
      <c r="C127" s="9">
        <v>0</v>
      </c>
      <c r="D127" s="6"/>
      <c r="E127" s="8">
        <v>0.04</v>
      </c>
      <c r="F127" s="49">
        <v>0</v>
      </c>
      <c r="G127" s="9"/>
      <c r="H127" s="9">
        <v>54.9</v>
      </c>
      <c r="I127" s="48">
        <v>0.115</v>
      </c>
      <c r="J127" s="78" cm="1">
        <f t="array" ref="J127">IF(H127&lt;12.5, H127/2,
IF(H127&lt;29, 6.25,
IF(H127&lt;50, 6.5,
IF(H127&lt;79, 6.75,
VALUE(SUBSTITUTE(
INDEX(RESUMO!$J$2:$J$100, MATCH(1,
(D127&gt;=RESUMO!$H$2:$H$100)*(D127&lt;=RESUMO!$I$2:$I$100)*(H127&gt;=RESUMO!$K$2:$K$100)*(H127&lt;=RESUMO!$L$2:$L$100),
0)), "R$ ", ""))
))))</f>
        <v>6.75</v>
      </c>
      <c r="K127" s="78">
        <v>0</v>
      </c>
      <c r="L127" s="10">
        <f t="shared" si="33"/>
        <v>0.76204918032786884</v>
      </c>
      <c r="M127" s="7"/>
      <c r="N127" s="48"/>
      <c r="O127" s="78" cm="1">
        <f t="array" ref="O127">IF(M127&lt;12.5, 0,
IF(M127&lt;29, 6.25,
IF(M127&lt;50, 6.5,
IF(M127&lt;79, 6.75,
VALUE(SUBSTITUTE(
INDEX(RESUMO!$J$2:$J$100, MATCH(1,
(D127&gt;=RESUMO!$H$2:$H$100)*(D127&lt;=RESUMO!$I$2:$I$100)*(M127&gt;=RESUMO!$K$2:$K$100)*(M127&lt;=RESUMO!$L$2:$L$100),
0)), "R$ ", ""))
))))</f>
        <v>0</v>
      </c>
      <c r="P127" s="9"/>
      <c r="Q127" s="10" t="e">
        <f t="shared" si="34"/>
        <v>#DIV/0!</v>
      </c>
      <c r="R127" s="5">
        <f t="shared" si="35"/>
        <v>41.836500000000001</v>
      </c>
      <c r="S127" s="5">
        <f t="shared" si="36"/>
        <v>41.836500000000001</v>
      </c>
      <c r="T127" s="5">
        <f t="shared" si="37"/>
        <v>0</v>
      </c>
      <c r="U127" s="5">
        <f t="shared" si="38"/>
        <v>0</v>
      </c>
    </row>
    <row r="128" spans="1:21" x14ac:dyDescent="0.25">
      <c r="A128" s="11"/>
      <c r="B128" s="6" t="s">
        <v>183</v>
      </c>
      <c r="C128" s="9">
        <v>0</v>
      </c>
      <c r="D128" s="6"/>
      <c r="E128" s="8">
        <v>0.04</v>
      </c>
      <c r="F128" s="49">
        <v>0</v>
      </c>
      <c r="G128" s="9"/>
      <c r="H128" s="9">
        <v>14.9</v>
      </c>
      <c r="I128" s="48">
        <v>0.115</v>
      </c>
      <c r="J128" s="78" cm="1">
        <f t="array" ref="J128">IF(H128&lt;12.5, H128/2,
IF(H128&lt;29, 6.25,
IF(H128&lt;50, 6.5,
IF(H128&lt;79, 6.75,
VALUE(SUBSTITUTE(
INDEX(RESUMO!$J$2:$J$100, MATCH(1,
(D128&gt;=RESUMO!$H$2:$H$100)*(D128&lt;=RESUMO!$I$2:$I$100)*(H128&gt;=RESUMO!$K$2:$K$100)*(H128&lt;=RESUMO!$L$2:$L$100),
0)), "R$ ", ""))
))))</f>
        <v>6.25</v>
      </c>
      <c r="K128" s="78">
        <v>0</v>
      </c>
      <c r="L128" s="10">
        <f t="shared" si="33"/>
        <v>0.46553691275167786</v>
      </c>
      <c r="M128" s="7"/>
      <c r="N128" s="48"/>
      <c r="O128" s="78" cm="1">
        <f t="array" ref="O128">IF(M128&lt;12.5, 0,
IF(M128&lt;29, 6.25,
IF(M128&lt;50, 6.5,
IF(M128&lt;79, 6.75,
VALUE(SUBSTITUTE(
INDEX(RESUMO!$J$2:$J$100, MATCH(1,
(D128&gt;=RESUMO!$H$2:$H$100)*(D128&lt;=RESUMO!$I$2:$I$100)*(M128&gt;=RESUMO!$K$2:$K$100)*(M128&lt;=RESUMO!$L$2:$L$100),
0)), "R$ ", ""))
))))</f>
        <v>0</v>
      </c>
      <c r="P128" s="9"/>
      <c r="Q128" s="10" t="e">
        <f t="shared" si="34"/>
        <v>#DIV/0!</v>
      </c>
      <c r="R128" s="5">
        <f t="shared" si="35"/>
        <v>6.9365000000000006</v>
      </c>
      <c r="S128" s="5">
        <f t="shared" si="36"/>
        <v>6.9365000000000006</v>
      </c>
      <c r="T128" s="5">
        <f t="shared" si="37"/>
        <v>0</v>
      </c>
      <c r="U128" s="5">
        <f t="shared" si="38"/>
        <v>0</v>
      </c>
    </row>
    <row r="129" spans="1:21" x14ac:dyDescent="0.25">
      <c r="A129" s="11"/>
      <c r="B129" s="6" t="s">
        <v>184</v>
      </c>
      <c r="C129" s="9">
        <v>0</v>
      </c>
      <c r="D129" s="6"/>
      <c r="E129" s="8">
        <v>0.04</v>
      </c>
      <c r="F129" s="49">
        <v>0</v>
      </c>
      <c r="G129" s="9"/>
      <c r="H129" s="9">
        <v>44.9</v>
      </c>
      <c r="I129" s="48">
        <v>0.115</v>
      </c>
      <c r="J129" s="78" cm="1">
        <f t="array" ref="J129">IF(H129&lt;12.5, H129/2,
IF(H129&lt;29, 6.25,
IF(H129&lt;50, 6.5,
IF(H129&lt;79, 6.75,
VALUE(SUBSTITUTE(
INDEX(RESUMO!$J$2:$J$100, MATCH(1,
(D129&gt;=RESUMO!$H$2:$H$100)*(D129&lt;=RESUMO!$I$2:$I$100)*(H129&gt;=RESUMO!$K$2:$K$100)*(H129&lt;=RESUMO!$L$2:$L$100),
0)), "R$ ", ""))
))))</f>
        <v>6.5</v>
      </c>
      <c r="K129" s="78">
        <v>0</v>
      </c>
      <c r="L129" s="10">
        <f t="shared" si="33"/>
        <v>0.74023385300668154</v>
      </c>
      <c r="M129" s="7"/>
      <c r="N129" s="48"/>
      <c r="O129" s="78" cm="1">
        <f t="array" ref="O129">IF(M129&lt;12.5, 0,
IF(M129&lt;29, 6.25,
IF(M129&lt;50, 6.5,
IF(M129&lt;79, 6.75,
VALUE(SUBSTITUTE(
INDEX(RESUMO!$J$2:$J$100, MATCH(1,
(D129&gt;=RESUMO!$H$2:$H$100)*(D129&lt;=RESUMO!$I$2:$I$100)*(M129&gt;=RESUMO!$K$2:$K$100)*(M129&lt;=RESUMO!$L$2:$L$100),
0)), "R$ ", ""))
))))</f>
        <v>0</v>
      </c>
      <c r="P129" s="9"/>
      <c r="Q129" s="10" t="e">
        <f t="shared" si="34"/>
        <v>#DIV/0!</v>
      </c>
      <c r="R129" s="5">
        <f t="shared" si="35"/>
        <v>33.236499999999999</v>
      </c>
      <c r="S129" s="5">
        <f t="shared" si="36"/>
        <v>33.236499999999999</v>
      </c>
      <c r="T129" s="5">
        <f t="shared" si="37"/>
        <v>0</v>
      </c>
      <c r="U129" s="5">
        <f t="shared" si="38"/>
        <v>0</v>
      </c>
    </row>
    <row r="130" spans="1:21" x14ac:dyDescent="0.25">
      <c r="A130" s="11"/>
      <c r="B130" s="6" t="s">
        <v>185</v>
      </c>
      <c r="C130" s="9">
        <v>0</v>
      </c>
      <c r="D130" s="6"/>
      <c r="E130" s="8">
        <v>0.04</v>
      </c>
      <c r="F130" s="49">
        <v>0</v>
      </c>
      <c r="G130" s="9"/>
      <c r="H130" s="9">
        <v>24.9</v>
      </c>
      <c r="I130" s="48">
        <v>0.115</v>
      </c>
      <c r="J130" s="78" cm="1">
        <f t="array" ref="J130">IF(H130&lt;12.5, H130/2,
IF(H130&lt;29, 6.25,
IF(H130&lt;50, 6.5,
IF(H130&lt;79, 6.75,
VALUE(SUBSTITUTE(
INDEX(RESUMO!$J$2:$J$100, MATCH(1,
(D130&gt;=RESUMO!$H$2:$H$100)*(D130&lt;=RESUMO!$I$2:$I$100)*(H130&gt;=RESUMO!$K$2:$K$100)*(H130&lt;=RESUMO!$L$2:$L$100),
0)), "R$ ", ""))
))))</f>
        <v>6.25</v>
      </c>
      <c r="K130" s="78">
        <v>0</v>
      </c>
      <c r="L130" s="10">
        <f t="shared" si="33"/>
        <v>0.63399598393574286</v>
      </c>
      <c r="M130" s="7"/>
      <c r="N130" s="48"/>
      <c r="O130" s="78" cm="1">
        <f t="array" ref="O130">IF(M130&lt;12.5, 0,
IF(M130&lt;29, 6.25,
IF(M130&lt;50, 6.5,
IF(M130&lt;79, 6.75,
VALUE(SUBSTITUTE(
INDEX(RESUMO!$J$2:$J$100, MATCH(1,
(D130&gt;=RESUMO!$H$2:$H$100)*(D130&lt;=RESUMO!$I$2:$I$100)*(M130&gt;=RESUMO!$K$2:$K$100)*(M130&lt;=RESUMO!$L$2:$L$100),
0)), "R$ ", ""))
))))</f>
        <v>0</v>
      </c>
      <c r="P130" s="9"/>
      <c r="Q130" s="10" t="e">
        <f t="shared" si="34"/>
        <v>#DIV/0!</v>
      </c>
      <c r="R130" s="5">
        <f t="shared" si="35"/>
        <v>15.786499999999997</v>
      </c>
      <c r="S130" s="5">
        <f t="shared" si="36"/>
        <v>15.786499999999997</v>
      </c>
      <c r="T130" s="5">
        <f t="shared" si="37"/>
        <v>0</v>
      </c>
      <c r="U130" s="5">
        <f t="shared" si="38"/>
        <v>0</v>
      </c>
    </row>
    <row r="131" spans="1:21" x14ac:dyDescent="0.25">
      <c r="A131" s="11"/>
      <c r="B131" s="6" t="s">
        <v>186</v>
      </c>
      <c r="C131" s="9">
        <v>0</v>
      </c>
      <c r="D131" s="6"/>
      <c r="E131" s="8">
        <v>0.04</v>
      </c>
      <c r="F131" s="49">
        <v>0</v>
      </c>
      <c r="G131" s="9"/>
      <c r="H131" s="9">
        <v>39</v>
      </c>
      <c r="I131" s="48">
        <v>0.12</v>
      </c>
      <c r="J131" s="78" cm="1">
        <f t="array" ref="J131">IF(H131&lt;12.5, H131/2,
IF(H131&lt;29, 6.25,
IF(H131&lt;50, 6.5,
IF(H131&lt;79, 6.75,
VALUE(SUBSTITUTE(
INDEX(RESUMO!$J$2:$J$100, MATCH(1,
(D131&gt;=RESUMO!$H$2:$H$100)*(D131&lt;=RESUMO!$I$2:$I$100)*(H131&gt;=RESUMO!$K$2:$K$100)*(H131&lt;=RESUMO!$L$2:$L$100),
0)), "R$ ", ""))
))))</f>
        <v>6.5</v>
      </c>
      <c r="K131" s="78">
        <v>0</v>
      </c>
      <c r="L131" s="10">
        <f t="shared" si="33"/>
        <v>0.71333333333333337</v>
      </c>
      <c r="M131" s="7"/>
      <c r="N131" s="48"/>
      <c r="O131" s="78" cm="1">
        <f t="array" ref="O131">IF(M131&lt;12.5, 0,
IF(M131&lt;29, 6.25,
IF(M131&lt;50, 6.5,
IF(M131&lt;79, 6.75,
VALUE(SUBSTITUTE(
INDEX(RESUMO!$J$2:$J$100, MATCH(1,
(D131&gt;=RESUMO!$H$2:$H$100)*(D131&lt;=RESUMO!$I$2:$I$100)*(M131&gt;=RESUMO!$K$2:$K$100)*(M131&lt;=RESUMO!$L$2:$L$100),
0)), "R$ ", ""))
))))</f>
        <v>0</v>
      </c>
      <c r="P131" s="9"/>
      <c r="Q131" s="10" t="e">
        <f t="shared" si="34"/>
        <v>#DIV/0!</v>
      </c>
      <c r="R131" s="5">
        <f t="shared" si="35"/>
        <v>27.82</v>
      </c>
      <c r="S131" s="5">
        <f t="shared" si="36"/>
        <v>27.82</v>
      </c>
      <c r="T131" s="5">
        <f t="shared" si="37"/>
        <v>0</v>
      </c>
      <c r="U131" s="5">
        <f t="shared" si="38"/>
        <v>0</v>
      </c>
    </row>
    <row r="132" spans="1:21" x14ac:dyDescent="0.25">
      <c r="A132" s="11" t="s">
        <v>25</v>
      </c>
      <c r="B132" s="6" t="s">
        <v>187</v>
      </c>
      <c r="C132" s="9">
        <v>261.02999999999997</v>
      </c>
      <c r="D132" s="6">
        <v>9</v>
      </c>
      <c r="E132" s="8">
        <v>0.04</v>
      </c>
      <c r="F132" s="49">
        <v>0</v>
      </c>
      <c r="G132" s="9">
        <v>2</v>
      </c>
      <c r="H132" s="9">
        <v>465</v>
      </c>
      <c r="I132" s="48">
        <v>0.11</v>
      </c>
      <c r="J132" s="78" cm="1">
        <f t="array" ref="J132">IF(H132&lt;12.5, H132/2,
IF(H132&lt;29, 6.25,
IF(H132&lt;50, 6.5,
IF(H132&lt;79, 6.75,
VALUE(SUBSTITUTE(
INDEX(RESUMO!$J$2:$J$100, MATCH(1,
(D132&gt;=RESUMO!$H$2:$H$100)*(D132&lt;=RESUMO!$I$2:$I$100)*(H132&gt;=RESUMO!$K$2:$K$100)*(H132&lt;=RESUMO!$L$2:$L$100),
0)), "R$ ", ""))
))))</f>
        <v>44.45</v>
      </c>
      <c r="K132" s="78">
        <v>0</v>
      </c>
      <c r="L132" s="10">
        <f t="shared" si="33"/>
        <v>0.2105995698924733</v>
      </c>
      <c r="M132" s="7">
        <v>499</v>
      </c>
      <c r="N132" s="48">
        <v>0.16</v>
      </c>
      <c r="O132" s="78" cm="1">
        <f t="array" ref="O132">IF(M132&lt;12.5, 0,
IF(M132&lt;29, 6.25,
IF(M132&lt;50, 6.5,
IF(M132&lt;79, 6.75,
VALUE(SUBSTITUTE(
INDEX(RESUMO!$J$2:$J$100, MATCH(1,
(D132&gt;=RESUMO!$H$2:$H$100)*(D132&lt;=RESUMO!$I$2:$I$100)*(M132&gt;=RESUMO!$K$2:$K$100)*(M132&lt;=RESUMO!$L$2:$L$100),
0)), "R$ ", ""))
))))</f>
        <v>44.45</v>
      </c>
      <c r="P132" s="9">
        <v>0</v>
      </c>
      <c r="Q132" s="10">
        <f t="shared" si="34"/>
        <v>0.20689138276553112</v>
      </c>
      <c r="R132" s="5">
        <f t="shared" si="35"/>
        <v>358.95880000000005</v>
      </c>
      <c r="S132" s="5">
        <f t="shared" si="36"/>
        <v>97.928800000000081</v>
      </c>
      <c r="T132" s="5">
        <f t="shared" si="37"/>
        <v>364.2688</v>
      </c>
      <c r="U132" s="5">
        <f t="shared" si="38"/>
        <v>103.23880000000003</v>
      </c>
    </row>
    <row r="133" spans="1:21" x14ac:dyDescent="0.25">
      <c r="A133" s="11" t="s">
        <v>25</v>
      </c>
      <c r="B133" s="6" t="s">
        <v>188</v>
      </c>
      <c r="C133" s="9">
        <v>248.22</v>
      </c>
      <c r="D133" s="6">
        <v>9</v>
      </c>
      <c r="E133" s="8">
        <v>0.04</v>
      </c>
      <c r="F133" s="49">
        <v>0</v>
      </c>
      <c r="G133" s="9">
        <v>2</v>
      </c>
      <c r="H133" s="9">
        <v>361</v>
      </c>
      <c r="I133" s="48">
        <v>0.11</v>
      </c>
      <c r="J133" s="78" cm="1">
        <f t="array" ref="J133">IF(H133&lt;12.5, H133/2,
IF(H133&lt;29, 6.25,
IF(H133&lt;50, 6.5,
IF(H133&lt;79, 6.75,
VALUE(SUBSTITUTE(
INDEX(RESUMO!$J$2:$J$100, MATCH(1,
(D133&gt;=RESUMO!$H$2:$H$100)*(D133&lt;=RESUMO!$I$2:$I$100)*(H133&gt;=RESUMO!$K$2:$K$100)*(H133&lt;=RESUMO!$L$2:$L$100),
0)), "R$ ", ""))
))))</f>
        <v>44.45</v>
      </c>
      <c r="K133" s="78">
        <v>0</v>
      </c>
      <c r="L133" s="10">
        <f t="shared" si="33"/>
        <v>5.1776177285318588E-2</v>
      </c>
      <c r="M133" s="7">
        <v>449</v>
      </c>
      <c r="N133" s="48">
        <v>0.16</v>
      </c>
      <c r="O133" s="78" cm="1">
        <f t="array" ref="O133">IF(M133&lt;12.5, 0,
IF(M133&lt;29, 6.25,
IF(M133&lt;50, 6.5,
IF(M133&lt;79, 6.75,
VALUE(SUBSTITUTE(
INDEX(RESUMO!$J$2:$J$100, MATCH(1,
(D133&gt;=RESUMO!$H$2:$H$100)*(D133&lt;=RESUMO!$I$2:$I$100)*(M133&gt;=RESUMO!$K$2:$K$100)*(M133&lt;=RESUMO!$L$2:$L$100),
0)), "R$ ", ""))
))))</f>
        <v>44.45</v>
      </c>
      <c r="P133" s="9">
        <v>0</v>
      </c>
      <c r="Q133" s="10">
        <f t="shared" si="34"/>
        <v>0.16606057906458788</v>
      </c>
      <c r="R133" s="5">
        <f t="shared" si="35"/>
        <v>266.91120000000001</v>
      </c>
      <c r="S133" s="5">
        <f t="shared" si="36"/>
        <v>18.691200000000009</v>
      </c>
      <c r="T133" s="5">
        <f t="shared" si="37"/>
        <v>322.78119999999996</v>
      </c>
      <c r="U133" s="5">
        <f t="shared" si="38"/>
        <v>74.561199999999957</v>
      </c>
    </row>
    <row r="134" spans="1:21" x14ac:dyDescent="0.25">
      <c r="A134" s="11" t="s">
        <v>33</v>
      </c>
      <c r="B134" s="6" t="s">
        <v>189</v>
      </c>
      <c r="C134" s="9">
        <v>492.5</v>
      </c>
      <c r="D134" s="6"/>
      <c r="E134" s="8">
        <v>0.04</v>
      </c>
      <c r="F134" s="49">
        <v>0</v>
      </c>
      <c r="G134" s="9">
        <v>2</v>
      </c>
      <c r="H134" s="9">
        <v>719.9</v>
      </c>
      <c r="I134" s="48">
        <v>0.11</v>
      </c>
      <c r="J134" s="78" cm="1">
        <f t="array" ref="J134">IF(H134&lt;12.5, H134/2,
IF(H134&lt;29, 6.25,
IF(H134&lt;50, 6.5,
IF(H134&lt;79, 6.75,
VALUE(SUBSTITUTE(
INDEX(RESUMO!$J$2:$J$100, MATCH(1,
(D134&gt;=RESUMO!$H$2:$H$100)*(D134&lt;=RESUMO!$I$2:$I$100)*(H134&gt;=RESUMO!$K$2:$K$100)*(H134&lt;=RESUMO!$L$2:$L$100),
0)), "R$ ", ""))
))))</f>
        <v>19.95</v>
      </c>
      <c r="K134" s="78">
        <v>0</v>
      </c>
      <c r="L134" s="10">
        <f t="shared" si="33"/>
        <v>0.15080011112654526</v>
      </c>
      <c r="M134" s="7">
        <v>925</v>
      </c>
      <c r="N134" s="48">
        <v>0.16</v>
      </c>
      <c r="O134" s="78" cm="1">
        <f t="array" ref="O134">IF(M134&lt;12.5, 0,
IF(M134&lt;29, 6.25,
IF(M134&lt;50, 6.5,
IF(M134&lt;79, 6.75,
VALUE(SUBSTITUTE(
INDEX(RESUMO!$J$2:$J$100, MATCH(1,
(D134&gt;=RESUMO!$H$2:$H$100)*(D134&lt;=RESUMO!$I$2:$I$100)*(M134&gt;=RESUMO!$K$2:$K$100)*(M134&lt;=RESUMO!$L$2:$L$100),
0)), "R$ ", ""))
))))</f>
        <v>19.95</v>
      </c>
      <c r="P134" s="9">
        <v>0</v>
      </c>
      <c r="Q134" s="10">
        <f t="shared" si="34"/>
        <v>0.26470270270270263</v>
      </c>
      <c r="R134" s="5">
        <f t="shared" si="35"/>
        <v>601.06099999999992</v>
      </c>
      <c r="S134" s="5">
        <f t="shared" si="36"/>
        <v>108.56099999999992</v>
      </c>
      <c r="T134" s="5">
        <f t="shared" si="37"/>
        <v>737.34999999999991</v>
      </c>
      <c r="U134" s="5">
        <f t="shared" si="38"/>
        <v>244.84999999999991</v>
      </c>
    </row>
    <row r="135" spans="1:21" x14ac:dyDescent="0.25">
      <c r="A135" s="11" t="s">
        <v>25</v>
      </c>
      <c r="B135" s="6" t="s">
        <v>190</v>
      </c>
      <c r="C135" s="9">
        <v>207.83</v>
      </c>
      <c r="D135" s="6">
        <v>9</v>
      </c>
      <c r="E135" s="8">
        <v>0.04</v>
      </c>
      <c r="F135" s="49">
        <v>0</v>
      </c>
      <c r="G135" s="9">
        <v>2</v>
      </c>
      <c r="H135" s="9">
        <v>315</v>
      </c>
      <c r="I135" s="48">
        <v>0.11</v>
      </c>
      <c r="J135" s="78" cm="1">
        <f t="array" ref="J135">IF(H135&lt;12.5, H135/2,
IF(H135&lt;29, 6.25,
IF(H135&lt;50, 6.5,
IF(H135&lt;79, 6.75,
VALUE(SUBSTITUTE(
INDEX(RESUMO!$J$2:$J$100, MATCH(1,
(D135&gt;=RESUMO!$H$2:$H$100)*(D135&lt;=RESUMO!$I$2:$I$100)*(H135&gt;=RESUMO!$K$2:$K$100)*(H135&lt;=RESUMO!$L$2:$L$100),
0)), "R$ ", ""))
))))</f>
        <v>44.45</v>
      </c>
      <c r="K135" s="78">
        <v>0</v>
      </c>
      <c r="L135" s="10">
        <f t="shared" si="33"/>
        <v>6.2720000000000081E-2</v>
      </c>
      <c r="M135" s="7">
        <v>380</v>
      </c>
      <c r="N135" s="48">
        <v>0.16</v>
      </c>
      <c r="O135" s="78" cm="1">
        <f t="array" ref="O135">IF(M135&lt;12.5, 0,
IF(M135&lt;29, 6.25,
IF(M135&lt;50, 6.5,
IF(M135&lt;79, 6.75,
VALUE(SUBSTITUTE(
INDEX(RESUMO!$J$2:$J$100, MATCH(1,
(D135&gt;=RESUMO!$H$2:$H$100)*(D135&lt;=RESUMO!$I$2:$I$100)*(M135&gt;=RESUMO!$K$2:$K$100)*(M135&lt;=RESUMO!$L$2:$L$100),
0)), "R$ ", ""))
))))</f>
        <v>44.45</v>
      </c>
      <c r="P135" s="9">
        <v>0</v>
      </c>
      <c r="Q135" s="10">
        <f t="shared" si="34"/>
        <v>0.15422842105263157</v>
      </c>
      <c r="R135" s="5">
        <f t="shared" si="35"/>
        <v>227.58680000000004</v>
      </c>
      <c r="S135" s="5">
        <f t="shared" si="36"/>
        <v>19.756800000000027</v>
      </c>
      <c r="T135" s="5">
        <f t="shared" si="37"/>
        <v>266.43680000000001</v>
      </c>
      <c r="U135" s="5">
        <f t="shared" si="38"/>
        <v>58.606799999999993</v>
      </c>
    </row>
    <row r="136" spans="1:21" x14ac:dyDescent="0.25">
      <c r="A136" s="11" t="s">
        <v>33</v>
      </c>
      <c r="B136" s="6" t="s">
        <v>191</v>
      </c>
      <c r="C136" s="9">
        <v>205.87</v>
      </c>
      <c r="D136" s="6">
        <v>9</v>
      </c>
      <c r="E136" s="8">
        <v>0.04</v>
      </c>
      <c r="F136" s="49">
        <v>0</v>
      </c>
      <c r="G136" s="9">
        <v>2</v>
      </c>
      <c r="H136" s="9">
        <v>329</v>
      </c>
      <c r="I136" s="48">
        <v>0.11</v>
      </c>
      <c r="J136" s="78" cm="1">
        <f t="array" ref="J136">IF(H136&lt;12.5, H136/2,
IF(H136&lt;29, 6.25,
IF(H136&lt;50, 6.5,
IF(H136&lt;79, 6.75,
VALUE(SUBSTITUTE(
INDEX(RESUMO!$J$2:$J$100, MATCH(1,
(D136&gt;=RESUMO!$H$2:$H$100)*(D136&lt;=RESUMO!$I$2:$I$100)*(H136&gt;=RESUMO!$K$2:$K$100)*(H136&lt;=RESUMO!$L$2:$L$100),
0)), "R$ ", ""))
))))</f>
        <v>44.45</v>
      </c>
      <c r="K136" s="78">
        <v>0</v>
      </c>
      <c r="L136" s="10">
        <f t="shared" si="33"/>
        <v>0.10411914893617022</v>
      </c>
      <c r="M136" s="7">
        <v>379</v>
      </c>
      <c r="N136" s="48">
        <v>0.16</v>
      </c>
      <c r="O136" s="78" cm="1">
        <f t="array" ref="O136">IF(M136&lt;12.5, 0,
IF(M136&lt;29, 6.25,
IF(M136&lt;50, 6.5,
IF(M136&lt;79, 6.75,
VALUE(SUBSTITUTE(
INDEX(RESUMO!$J$2:$J$100, MATCH(1,
(D136&gt;=RESUMO!$H$2:$H$100)*(D136&lt;=RESUMO!$I$2:$I$100)*(M136&gt;=RESUMO!$K$2:$K$100)*(M136&lt;=RESUMO!$L$2:$L$100),
0)), "R$ ", ""))
))))</f>
        <v>44.45</v>
      </c>
      <c r="P136" s="9">
        <v>0</v>
      </c>
      <c r="Q136" s="10">
        <f t="shared" si="34"/>
        <v>0.15779736147757259</v>
      </c>
      <c r="R136" s="5">
        <f t="shared" si="35"/>
        <v>240.12520000000001</v>
      </c>
      <c r="S136" s="5">
        <f t="shared" si="36"/>
        <v>34.255200000000002</v>
      </c>
      <c r="T136" s="5">
        <f t="shared" si="37"/>
        <v>265.67520000000002</v>
      </c>
      <c r="U136" s="5">
        <f t="shared" si="38"/>
        <v>59.805200000000013</v>
      </c>
    </row>
    <row r="137" spans="1:21" x14ac:dyDescent="0.25">
      <c r="A137" s="11" t="s">
        <v>25</v>
      </c>
      <c r="B137" s="6" t="s">
        <v>192</v>
      </c>
      <c r="C137" s="9">
        <v>231.48</v>
      </c>
      <c r="D137" s="6"/>
      <c r="E137" s="8">
        <v>0.04</v>
      </c>
      <c r="F137" s="49">
        <v>0</v>
      </c>
      <c r="G137" s="9"/>
      <c r="H137" s="9">
        <v>399</v>
      </c>
      <c r="I137" s="48">
        <v>0.11</v>
      </c>
      <c r="J137" s="78" cm="1">
        <f t="array" ref="J137">IF(H137&lt;12.5, H137/2,
IF(H137&lt;29, 6.25,
IF(H137&lt;50, 6.5,
IF(H137&lt;79, 6.75,
VALUE(SUBSTITUTE(
INDEX(RESUMO!$J$2:$J$100, MATCH(1,
(D137&gt;=RESUMO!$H$2:$H$100)*(D137&lt;=RESUMO!$I$2:$I$100)*(H137&gt;=RESUMO!$K$2:$K$100)*(H137&lt;=RESUMO!$L$2:$L$100),
0)), "R$ ", ""))
))))</f>
        <v>19.95</v>
      </c>
      <c r="K137" s="78">
        <v>0</v>
      </c>
      <c r="L137" s="10">
        <f t="shared" si="33"/>
        <v>0.23664360902255643</v>
      </c>
      <c r="M137" s="7">
        <v>425</v>
      </c>
      <c r="N137" s="48">
        <v>0.16</v>
      </c>
      <c r="O137" s="78" cm="1">
        <f t="array" ref="O137">IF(M137&lt;12.5, 0,
IF(M137&lt;29, 6.25,
IF(M137&lt;50, 6.5,
IF(M137&lt;79, 6.75,
VALUE(SUBSTITUTE(
INDEX(RESUMO!$J$2:$J$100, MATCH(1,
(D137&gt;=RESUMO!$H$2:$H$100)*(D137&lt;=RESUMO!$I$2:$I$100)*(M137&gt;=RESUMO!$K$2:$K$100)*(M137&lt;=RESUMO!$L$2:$L$100),
0)), "R$ ", ""))
))))</f>
        <v>19.95</v>
      </c>
      <c r="P137" s="9">
        <v>0</v>
      </c>
      <c r="Q137" s="10">
        <f t="shared" si="34"/>
        <v>0.22661364705882353</v>
      </c>
      <c r="R137" s="5">
        <f t="shared" si="35"/>
        <v>325.9008</v>
      </c>
      <c r="S137" s="5">
        <f t="shared" si="36"/>
        <v>94.420800000000014</v>
      </c>
      <c r="T137" s="5">
        <f t="shared" si="37"/>
        <v>327.79079999999999</v>
      </c>
      <c r="U137" s="5">
        <f t="shared" si="38"/>
        <v>96.3108</v>
      </c>
    </row>
    <row r="138" spans="1:21" x14ac:dyDescent="0.25">
      <c r="A138" s="11" t="s">
        <v>25</v>
      </c>
      <c r="B138" s="6" t="s">
        <v>193</v>
      </c>
      <c r="C138" s="9">
        <v>180.55</v>
      </c>
      <c r="D138" s="6">
        <v>9</v>
      </c>
      <c r="E138" s="8">
        <v>0.04</v>
      </c>
      <c r="F138" s="49">
        <v>0</v>
      </c>
      <c r="G138" s="9">
        <v>2</v>
      </c>
      <c r="H138" s="9">
        <v>295</v>
      </c>
      <c r="I138" s="48">
        <v>0.11</v>
      </c>
      <c r="J138" s="78" cm="1">
        <f t="array" ref="J138">IF(H138&lt;12.5, H138/2,
IF(H138&lt;29, 6.25,
IF(H138&lt;50, 6.5,
IF(H138&lt;79, 6.75,
VALUE(SUBSTITUTE(
INDEX(RESUMO!$J$2:$J$100, MATCH(1,
(D138&gt;=RESUMO!$H$2:$H$100)*(D138&lt;=RESUMO!$I$2:$I$100)*(H138&gt;=RESUMO!$K$2:$K$100)*(H138&lt;=RESUMO!$L$2:$L$100),
0)), "R$ ", ""))
))))</f>
        <v>44.45</v>
      </c>
      <c r="K138" s="78">
        <v>0</v>
      </c>
      <c r="L138" s="10">
        <f t="shared" si="33"/>
        <v>0.10280677966101696</v>
      </c>
      <c r="M138" s="7">
        <v>349</v>
      </c>
      <c r="N138" s="48">
        <v>0.16</v>
      </c>
      <c r="O138" s="78" cm="1">
        <f t="array" ref="O138">IF(M138&lt;12.5, 0,
IF(M138&lt;29, 6.25,
IF(M138&lt;50, 6.5,
IF(M138&lt;79, 6.75,
VALUE(SUBSTITUTE(
INDEX(RESUMO!$J$2:$J$100, MATCH(1,
(D138&gt;=RESUMO!$H$2:$H$100)*(D138&lt;=RESUMO!$I$2:$I$100)*(M138&gt;=RESUMO!$K$2:$K$100)*(M138&lt;=RESUMO!$L$2:$L$100),
0)), "R$ ", ""))
))))</f>
        <v>44.45</v>
      </c>
      <c r="P138" s="9">
        <v>0</v>
      </c>
      <c r="Q138" s="10">
        <f t="shared" si="34"/>
        <v>0.1746074498567334</v>
      </c>
      <c r="R138" s="5">
        <f t="shared" si="35"/>
        <v>210.87800000000001</v>
      </c>
      <c r="S138" s="5">
        <f t="shared" si="36"/>
        <v>30.328000000000003</v>
      </c>
      <c r="T138" s="5">
        <f t="shared" si="37"/>
        <v>241.48799999999997</v>
      </c>
      <c r="U138" s="5">
        <f t="shared" si="38"/>
        <v>60.93799999999996</v>
      </c>
    </row>
    <row r="139" spans="1:21" x14ac:dyDescent="0.25">
      <c r="A139" s="11"/>
      <c r="B139" s="6" t="s">
        <v>195</v>
      </c>
      <c r="C139" s="9">
        <v>1870</v>
      </c>
      <c r="D139" s="6"/>
      <c r="E139" s="8">
        <v>0.04</v>
      </c>
      <c r="F139" s="49">
        <v>0</v>
      </c>
      <c r="G139" s="9"/>
      <c r="H139" s="9">
        <v>2499</v>
      </c>
      <c r="I139" s="48">
        <v>0.13</v>
      </c>
      <c r="J139" s="78" cm="1">
        <f t="array" ref="J139">IF(H139&lt;12.5, H139/2,
IF(H139&lt;29, 6.25,
IF(H139&lt;50, 6.5,
IF(H139&lt;79, 6.75,
VALUE(SUBSTITUTE(
INDEX(RESUMO!$J$2:$J$100, MATCH(1,
(D139&gt;=RESUMO!$H$2:$H$100)*(D139&lt;=RESUMO!$I$2:$I$100)*(H139&gt;=RESUMO!$K$2:$K$100)*(H139&lt;=RESUMO!$L$2:$L$100),
0)), "R$ ", ""))
))))</f>
        <v>19.95</v>
      </c>
      <c r="K139" s="78">
        <v>0</v>
      </c>
      <c r="L139" s="10">
        <f t="shared" si="33"/>
        <v>8.378551420568231E-2</v>
      </c>
      <c r="M139" s="7"/>
      <c r="N139" s="48"/>
      <c r="O139" s="78" cm="1">
        <f t="array" ref="O139">IF(M139&lt;12.5, 0,
IF(M139&lt;29, 6.25,
IF(M139&lt;50, 6.5,
IF(M139&lt;79, 6.75,
VALUE(SUBSTITUTE(
INDEX(RESUMO!$J$2:$J$100, MATCH(1,
(D139&gt;=RESUMO!$H$2:$H$100)*(D139&lt;=RESUMO!$I$2:$I$100)*(M139&gt;=RESUMO!$K$2:$K$100)*(M139&lt;=RESUMO!$L$2:$L$100),
0)), "R$ ", ""))
))))</f>
        <v>0</v>
      </c>
      <c r="P139" s="9"/>
      <c r="Q139" s="10" t="e">
        <f t="shared" si="34"/>
        <v>#DIV/0!</v>
      </c>
      <c r="R139" s="5">
        <f t="shared" si="35"/>
        <v>2079.38</v>
      </c>
      <c r="S139" s="5">
        <f t="shared" si="36"/>
        <v>209.38000000000011</v>
      </c>
      <c r="T139" s="5">
        <f t="shared" si="37"/>
        <v>-74.8</v>
      </c>
      <c r="U139" s="5">
        <f t="shared" si="38"/>
        <v>-1944.8</v>
      </c>
    </row>
    <row r="140" spans="1:21" x14ac:dyDescent="0.25">
      <c r="A140" s="11" t="s">
        <v>11</v>
      </c>
      <c r="B140" s="6" t="s">
        <v>196</v>
      </c>
      <c r="C140" s="9">
        <v>619.9</v>
      </c>
      <c r="D140" s="6"/>
      <c r="E140" s="8">
        <v>0.04</v>
      </c>
      <c r="F140" s="49">
        <v>0</v>
      </c>
      <c r="G140" s="9"/>
      <c r="H140" s="9">
        <v>869</v>
      </c>
      <c r="I140" s="48">
        <v>0.13</v>
      </c>
      <c r="J140" s="78" cm="1">
        <f t="array" ref="J140">IF(H140&lt;12.5, H140/2,
IF(H140&lt;29, 6.25,
IF(H140&lt;50, 6.5,
IF(H140&lt;79, 6.75,
VALUE(SUBSTITUTE(
INDEX(RESUMO!$J$2:$J$100, MATCH(1,
(D140&gt;=RESUMO!$H$2:$H$100)*(D140&lt;=RESUMO!$I$2:$I$100)*(H140&gt;=RESUMO!$K$2:$K$100)*(H140&lt;=RESUMO!$L$2:$L$100),
0)), "R$ ", ""))
))))</f>
        <v>19.95</v>
      </c>
      <c r="K140" s="78">
        <v>0</v>
      </c>
      <c r="L140" s="10">
        <f t="shared" si="33"/>
        <v>0.10515995397008043</v>
      </c>
      <c r="M140" s="7"/>
      <c r="N140" s="48"/>
      <c r="O140" s="78" cm="1">
        <f t="array" ref="O140">IF(M140&lt;12.5, 0,
IF(M140&lt;29, 6.25,
IF(M140&lt;50, 6.5,
IF(M140&lt;79, 6.75,
VALUE(SUBSTITUTE(
INDEX(RESUMO!$J$2:$J$100, MATCH(1,
(D140&gt;=RESUMO!$H$2:$H$100)*(D140&lt;=RESUMO!$I$2:$I$100)*(M140&gt;=RESUMO!$K$2:$K$100)*(M140&lt;=RESUMO!$L$2:$L$100),
0)), "R$ ", ""))
))))</f>
        <v>0</v>
      </c>
      <c r="P140" s="9"/>
      <c r="Q140" s="10" t="e">
        <f t="shared" si="34"/>
        <v>#DIV/0!</v>
      </c>
      <c r="R140" s="5">
        <f t="shared" si="35"/>
        <v>711.28399999999988</v>
      </c>
      <c r="S140" s="5">
        <f t="shared" si="36"/>
        <v>91.383999999999901</v>
      </c>
      <c r="T140" s="5">
        <f t="shared" si="37"/>
        <v>-24.795999999999999</v>
      </c>
      <c r="U140" s="5">
        <f t="shared" si="38"/>
        <v>-644.69600000000003</v>
      </c>
    </row>
    <row r="141" spans="1:21" x14ac:dyDescent="0.25">
      <c r="A141" s="11" t="s">
        <v>33</v>
      </c>
      <c r="B141" s="6" t="s">
        <v>197</v>
      </c>
      <c r="C141" s="9">
        <v>256.10000000000002</v>
      </c>
      <c r="D141" s="6">
        <v>9</v>
      </c>
      <c r="E141" s="8">
        <v>0.04</v>
      </c>
      <c r="F141" s="49">
        <v>0</v>
      </c>
      <c r="G141" s="9">
        <v>2</v>
      </c>
      <c r="H141" s="9">
        <v>375</v>
      </c>
      <c r="I141" s="48">
        <v>0.11</v>
      </c>
      <c r="J141" s="78" cm="1">
        <f t="array" ref="J141">IF(H141&lt;12.5, H141/2,
IF(H141&lt;29, 6.25,
IF(H141&lt;50, 6.5,
IF(H141&lt;79, 6.75,
VALUE(SUBSTITUTE(
INDEX(RESUMO!$J$2:$J$100, MATCH(1,
(D141&gt;=RESUMO!$H$2:$H$100)*(D141&lt;=RESUMO!$I$2:$I$100)*(H141&gt;=RESUMO!$K$2:$K$100)*(H141&lt;=RESUMO!$L$2:$L$100),
0)), "R$ ", ""))
))))</f>
        <v>44.45</v>
      </c>
      <c r="K141" s="78">
        <v>0</v>
      </c>
      <c r="L141" s="10">
        <f t="shared" si="33"/>
        <v>6.1215999999999895E-2</v>
      </c>
      <c r="M141" s="7">
        <v>455</v>
      </c>
      <c r="N141" s="48">
        <v>0.16</v>
      </c>
      <c r="O141" s="78" cm="1">
        <f t="array" ref="O141">IF(M141&lt;12.5, 0,
IF(M141&lt;29, 6.25,
IF(M141&lt;50, 6.5,
IF(M141&lt;79, 6.75,
VALUE(SUBSTITUTE(
INDEX(RESUMO!$J$2:$J$100, MATCH(1,
(D141&gt;=RESUMO!$H$2:$H$100)*(D141&lt;=RESUMO!$I$2:$I$100)*(M141&gt;=RESUMO!$K$2:$K$100)*(M141&lt;=RESUMO!$L$2:$L$100),
0)), "R$ ", ""))
))))</f>
        <v>44.45</v>
      </c>
      <c r="P141" s="9">
        <v>0</v>
      </c>
      <c r="Q141" s="10">
        <f t="shared" si="34"/>
        <v>0.15693626373626363</v>
      </c>
      <c r="R141" s="5">
        <f t="shared" si="35"/>
        <v>279.05599999999998</v>
      </c>
      <c r="S141" s="5">
        <f t="shared" si="36"/>
        <v>22.95599999999996</v>
      </c>
      <c r="T141" s="5">
        <f t="shared" si="37"/>
        <v>327.50599999999997</v>
      </c>
      <c r="U141" s="5">
        <f t="shared" si="38"/>
        <v>71.405999999999949</v>
      </c>
    </row>
    <row r="142" spans="1:21" x14ac:dyDescent="0.25">
      <c r="A142" s="11" t="s">
        <v>25</v>
      </c>
      <c r="B142" s="6" t="s">
        <v>198</v>
      </c>
      <c r="C142" s="9">
        <v>14743.57</v>
      </c>
      <c r="D142" s="6"/>
      <c r="E142" s="8">
        <v>0.04</v>
      </c>
      <c r="F142" s="49">
        <v>625.91999999999996</v>
      </c>
      <c r="G142" s="9"/>
      <c r="H142" s="9"/>
      <c r="I142" s="48"/>
      <c r="J142" s="78" cm="1">
        <f t="array" ref="J142">IF(H142&lt;12.5, H142/2,
IF(H142&lt;29, 6.25,
IF(H142&lt;50, 6.5,
IF(H142&lt;79, 6.75,
VALUE(SUBSTITUTE(
INDEX(RESUMO!$J$2:$J$100, MATCH(1,
(D142&gt;=RESUMO!$H$2:$H$100)*(D142&lt;=RESUMO!$I$2:$I$100)*(H142&gt;=RESUMO!$K$2:$K$100)*(H142&lt;=RESUMO!$L$2:$L$100),
0)), "R$ ", ""))
))))</f>
        <v>0</v>
      </c>
      <c r="K142" s="78">
        <v>0</v>
      </c>
      <c r="L142" s="10" t="e">
        <f t="shared" si="33"/>
        <v>#DIV/0!</v>
      </c>
      <c r="M142" s="7">
        <v>17999</v>
      </c>
      <c r="N142" s="48">
        <v>0.16</v>
      </c>
      <c r="O142" s="78" cm="1">
        <f t="array" ref="O142">IF(M142&lt;12.5, 0,
IF(M142&lt;29, 6.25,
IF(M142&lt;50, 6.5,
IF(M142&lt;79, 6.75,
VALUE(SUBSTITUTE(
INDEX(RESUMO!$J$2:$J$100, MATCH(1,
(D142&gt;=RESUMO!$H$2:$H$100)*(D142&lt;=RESUMO!$I$2:$I$100)*(M142&gt;=RESUMO!$K$2:$K$100)*(M142&lt;=RESUMO!$L$2:$L$100),
0)), "R$ ", ""))
))))</f>
        <v>19.95</v>
      </c>
      <c r="P142" s="9">
        <v>0</v>
      </c>
      <c r="Q142" s="10">
        <f t="shared" si="34"/>
        <v>2.1768831601755627E-2</v>
      </c>
      <c r="R142" s="5">
        <f t="shared" si="35"/>
        <v>-589.74279999999999</v>
      </c>
      <c r="S142" s="5">
        <f t="shared" si="36"/>
        <v>-14707.3928</v>
      </c>
      <c r="T142" s="5">
        <f t="shared" si="37"/>
        <v>14509.467199999999</v>
      </c>
      <c r="U142" s="5">
        <f t="shared" si="38"/>
        <v>391.8171999999995</v>
      </c>
    </row>
    <row r="143" spans="1:21" x14ac:dyDescent="0.25">
      <c r="A143" s="11"/>
      <c r="B143" s="6" t="s">
        <v>199</v>
      </c>
      <c r="C143" s="9">
        <v>0</v>
      </c>
      <c r="D143" s="6"/>
      <c r="E143" s="8">
        <v>0.04</v>
      </c>
      <c r="F143" s="49">
        <v>0</v>
      </c>
      <c r="G143" s="9"/>
      <c r="H143" s="9">
        <v>39.9</v>
      </c>
      <c r="I143" s="48">
        <v>0.115</v>
      </c>
      <c r="J143" s="78" cm="1">
        <f t="array" ref="J143">IF(H143&lt;12.5, H143/2,
IF(H143&lt;29, 6.25,
IF(H143&lt;50, 6.5,
IF(H143&lt;79, 6.75,
VALUE(SUBSTITUTE(
INDEX(RESUMO!$J$2:$J$100, MATCH(1,
(D143&gt;=RESUMO!$H$2:$H$100)*(D143&lt;=RESUMO!$I$2:$I$100)*(H143&gt;=RESUMO!$K$2:$K$100)*(H143&lt;=RESUMO!$L$2:$L$100),
0)), "R$ ", ""))
))))</f>
        <v>6.5</v>
      </c>
      <c r="K143" s="78">
        <v>0</v>
      </c>
      <c r="L143" s="10">
        <f t="shared" si="33"/>
        <v>0.72209273182957379</v>
      </c>
      <c r="M143" s="7"/>
      <c r="N143" s="48"/>
      <c r="O143" s="78" cm="1">
        <f t="array" ref="O143">IF(M143&lt;12.5, 0,
IF(M143&lt;29, 6.25,
IF(M143&lt;50, 6.5,
IF(M143&lt;79, 6.75,
VALUE(SUBSTITUTE(
INDEX(RESUMO!$J$2:$J$100, MATCH(1,
(D143&gt;=RESUMO!$H$2:$H$100)*(D143&lt;=RESUMO!$I$2:$I$100)*(M143&gt;=RESUMO!$K$2:$K$100)*(M143&lt;=RESUMO!$L$2:$L$100),
0)), "R$ ", ""))
))))</f>
        <v>0</v>
      </c>
      <c r="P143" s="9"/>
      <c r="Q143" s="10" t="e">
        <f t="shared" si="34"/>
        <v>#DIV/0!</v>
      </c>
      <c r="R143" s="5">
        <f t="shared" si="35"/>
        <v>28.811499999999995</v>
      </c>
      <c r="S143" s="5">
        <f t="shared" si="36"/>
        <v>28.811499999999995</v>
      </c>
      <c r="T143" s="5">
        <f t="shared" si="37"/>
        <v>0</v>
      </c>
      <c r="U143" s="5">
        <f t="shared" si="38"/>
        <v>0</v>
      </c>
    </row>
    <row r="144" spans="1:21" x14ac:dyDescent="0.25">
      <c r="A144" s="11"/>
      <c r="B144" s="6" t="s">
        <v>200</v>
      </c>
      <c r="C144" s="9">
        <v>0</v>
      </c>
      <c r="D144" s="6"/>
      <c r="E144" s="8">
        <v>0.04</v>
      </c>
      <c r="F144" s="49">
        <v>0</v>
      </c>
      <c r="G144" s="9"/>
      <c r="H144" s="9">
        <v>40.5</v>
      </c>
      <c r="I144" s="48">
        <v>0.1154</v>
      </c>
      <c r="J144" s="78" cm="1">
        <f t="array" ref="J144">IF(H144&lt;12.5, H144/2,
IF(H144&lt;29, 6.25,
IF(H144&lt;50, 6.5,
IF(H144&lt;79, 6.75,
VALUE(SUBSTITUTE(
INDEX(RESUMO!$J$2:$J$100, MATCH(1,
(D144&gt;=RESUMO!$H$2:$H$100)*(D144&lt;=RESUMO!$I$2:$I$100)*(H144&gt;=RESUMO!$K$2:$K$100)*(H144&lt;=RESUMO!$L$2:$L$100),
0)), "R$ ", ""))
))))</f>
        <v>6.5</v>
      </c>
      <c r="K144" s="78">
        <v>0</v>
      </c>
      <c r="L144" s="10">
        <f t="shared" si="33"/>
        <v>0.72410617283950629</v>
      </c>
      <c r="M144" s="7"/>
      <c r="N144" s="48"/>
      <c r="O144" s="78" cm="1">
        <f t="array" ref="O144">IF(M144&lt;12.5, 0,
IF(M144&lt;29, 6.25,
IF(M144&lt;50, 6.5,
IF(M144&lt;79, 6.75,
VALUE(SUBSTITUTE(
INDEX(RESUMO!$J$2:$J$100, MATCH(1,
(D144&gt;=RESUMO!$H$2:$H$100)*(D144&lt;=RESUMO!$I$2:$I$100)*(M144&gt;=RESUMO!$K$2:$K$100)*(M144&lt;=RESUMO!$L$2:$L$100),
0)), "R$ ", ""))
))))</f>
        <v>0</v>
      </c>
      <c r="P144" s="9"/>
      <c r="Q144" s="10" t="e">
        <f t="shared" si="34"/>
        <v>#DIV/0!</v>
      </c>
      <c r="R144" s="5">
        <f t="shared" si="35"/>
        <v>29.326300000000003</v>
      </c>
      <c r="S144" s="5">
        <f t="shared" si="36"/>
        <v>29.326300000000003</v>
      </c>
      <c r="T144" s="5">
        <f t="shared" si="37"/>
        <v>0</v>
      </c>
      <c r="U144" s="5">
        <f t="shared" si="38"/>
        <v>0</v>
      </c>
    </row>
    <row r="145" spans="1:21" x14ac:dyDescent="0.25">
      <c r="A145" s="11"/>
      <c r="B145" s="6" t="s">
        <v>201</v>
      </c>
      <c r="C145" s="9">
        <v>0</v>
      </c>
      <c r="D145" s="6"/>
      <c r="E145" s="8">
        <v>0.04</v>
      </c>
      <c r="F145" s="49">
        <v>0</v>
      </c>
      <c r="G145" s="9"/>
      <c r="H145" s="9">
        <v>75</v>
      </c>
      <c r="I145" s="48">
        <v>0.115</v>
      </c>
      <c r="J145" s="78" cm="1">
        <f t="array" ref="J145">IF(H145&lt;12.5, H145/2,
IF(H145&lt;29, 6.25,
IF(H145&lt;50, 6.5,
IF(H145&lt;79, 6.75,
VALUE(SUBSTITUTE(
INDEX(RESUMO!$J$2:$J$100, MATCH(1,
(D145&gt;=RESUMO!$H$2:$H$100)*(D145&lt;=RESUMO!$I$2:$I$100)*(H145&gt;=RESUMO!$K$2:$K$100)*(H145&lt;=RESUMO!$L$2:$L$100),
0)), "R$ ", ""))
))))</f>
        <v>6.75</v>
      </c>
      <c r="K145" s="78">
        <v>0</v>
      </c>
      <c r="L145" s="10">
        <f t="shared" si="33"/>
        <v>0.79500000000000004</v>
      </c>
      <c r="M145" s="7"/>
      <c r="N145" s="48"/>
      <c r="O145" s="78" cm="1">
        <f t="array" ref="O145">IF(M145&lt;12.5, 0,
IF(M145&lt;29, 6.25,
IF(M145&lt;50, 6.5,
IF(M145&lt;79, 6.75,
VALUE(SUBSTITUTE(
INDEX(RESUMO!$J$2:$J$100, MATCH(1,
(D145&gt;=RESUMO!$H$2:$H$100)*(D145&lt;=RESUMO!$I$2:$I$100)*(M145&gt;=RESUMO!$K$2:$K$100)*(M145&lt;=RESUMO!$L$2:$L$100),
0)), "R$ ", ""))
))))</f>
        <v>0</v>
      </c>
      <c r="P145" s="9"/>
      <c r="Q145" s="10" t="e">
        <f t="shared" si="34"/>
        <v>#DIV/0!</v>
      </c>
      <c r="R145" s="5">
        <f t="shared" si="35"/>
        <v>59.625</v>
      </c>
      <c r="S145" s="5">
        <f t="shared" si="36"/>
        <v>59.625</v>
      </c>
      <c r="T145" s="5">
        <f t="shared" si="37"/>
        <v>0</v>
      </c>
      <c r="U145" s="5">
        <f t="shared" si="38"/>
        <v>0</v>
      </c>
    </row>
    <row r="146" spans="1:21" x14ac:dyDescent="0.25">
      <c r="A146" s="11"/>
      <c r="B146" s="6" t="s">
        <v>202</v>
      </c>
      <c r="C146" s="9">
        <v>0</v>
      </c>
      <c r="D146" s="6"/>
      <c r="E146" s="8">
        <v>0.04</v>
      </c>
      <c r="F146" s="49">
        <v>0</v>
      </c>
      <c r="G146" s="9"/>
      <c r="H146" s="9">
        <v>70.5</v>
      </c>
      <c r="I146" s="48">
        <v>0.115</v>
      </c>
      <c r="J146" s="78" cm="1">
        <f t="array" ref="J146">IF(H146&lt;12.5, H146/2,
IF(H146&lt;29, 6.25,
IF(H146&lt;50, 6.5,
IF(H146&lt;79, 6.75,
VALUE(SUBSTITUTE(
INDEX(RESUMO!$J$2:$J$100, MATCH(1,
(D146&gt;=RESUMO!$H$2:$H$100)*(D146&lt;=RESUMO!$I$2:$I$100)*(H146&gt;=RESUMO!$K$2:$K$100)*(H146&lt;=RESUMO!$L$2:$L$100),
0)), "R$ ", ""))
))))</f>
        <v>6.75</v>
      </c>
      <c r="K146" s="78">
        <v>0</v>
      </c>
      <c r="L146" s="10">
        <f t="shared" si="33"/>
        <v>0.7892553191489361</v>
      </c>
      <c r="M146" s="7"/>
      <c r="N146" s="48"/>
      <c r="O146" s="78" cm="1">
        <f t="array" ref="O146">IF(M146&lt;12.5, 0,
IF(M146&lt;29, 6.25,
IF(M146&lt;50, 6.5,
IF(M146&lt;79, 6.75,
VALUE(SUBSTITUTE(
INDEX(RESUMO!$J$2:$J$100, MATCH(1,
(D146&gt;=RESUMO!$H$2:$H$100)*(D146&lt;=RESUMO!$I$2:$I$100)*(M146&gt;=RESUMO!$K$2:$K$100)*(M146&lt;=RESUMO!$L$2:$L$100),
0)), "R$ ", ""))
))))</f>
        <v>0</v>
      </c>
      <c r="P146" s="9"/>
      <c r="Q146" s="10" t="e">
        <f t="shared" si="34"/>
        <v>#DIV/0!</v>
      </c>
      <c r="R146" s="5">
        <f t="shared" si="35"/>
        <v>55.642499999999998</v>
      </c>
      <c r="S146" s="5">
        <f t="shared" si="36"/>
        <v>55.642499999999998</v>
      </c>
      <c r="T146" s="5">
        <f t="shared" si="37"/>
        <v>0</v>
      </c>
      <c r="U146" s="5">
        <f t="shared" si="38"/>
        <v>0</v>
      </c>
    </row>
    <row r="147" spans="1:21" x14ac:dyDescent="0.25">
      <c r="A147" s="11"/>
      <c r="B147" s="6" t="s">
        <v>203</v>
      </c>
      <c r="C147" s="9">
        <v>0</v>
      </c>
      <c r="D147" s="6"/>
      <c r="E147" s="8">
        <v>0.04</v>
      </c>
      <c r="F147" s="49">
        <v>0</v>
      </c>
      <c r="G147" s="9"/>
      <c r="H147" s="9">
        <v>63</v>
      </c>
      <c r="I147" s="48">
        <v>0.115</v>
      </c>
      <c r="J147" s="78" cm="1">
        <f t="array" ref="J147">IF(H147&lt;12.5, H147/2,
IF(H147&lt;29, 6.25,
IF(H147&lt;50, 6.5,
IF(H147&lt;79, 6.75,
VALUE(SUBSTITUTE(
INDEX(RESUMO!$J$2:$J$100, MATCH(1,
(D147&gt;=RESUMO!$H$2:$H$100)*(D147&lt;=RESUMO!$I$2:$I$100)*(H147&gt;=RESUMO!$K$2:$K$100)*(H147&lt;=RESUMO!$L$2:$L$100),
0)), "R$ ", ""))
))))</f>
        <v>6.75</v>
      </c>
      <c r="K147" s="78">
        <v>0</v>
      </c>
      <c r="L147" s="10">
        <f t="shared" si="33"/>
        <v>0.77785714285714291</v>
      </c>
      <c r="M147" s="7"/>
      <c r="N147" s="48"/>
      <c r="O147" s="78" cm="1">
        <f t="array" ref="O147">IF(M147&lt;12.5, 0,
IF(M147&lt;29, 6.25,
IF(M147&lt;50, 6.5,
IF(M147&lt;79, 6.75,
VALUE(SUBSTITUTE(
INDEX(RESUMO!$J$2:$J$100, MATCH(1,
(D147&gt;=RESUMO!$H$2:$H$100)*(D147&lt;=RESUMO!$I$2:$I$100)*(M147&gt;=RESUMO!$K$2:$K$100)*(M147&lt;=RESUMO!$L$2:$L$100),
0)), "R$ ", ""))
))))</f>
        <v>0</v>
      </c>
      <c r="P147" s="9"/>
      <c r="Q147" s="10" t="e">
        <f t="shared" si="34"/>
        <v>#DIV/0!</v>
      </c>
      <c r="R147" s="5">
        <f t="shared" si="35"/>
        <v>49.005000000000003</v>
      </c>
      <c r="S147" s="5">
        <f t="shared" si="36"/>
        <v>49.005000000000003</v>
      </c>
      <c r="T147" s="5">
        <f t="shared" si="37"/>
        <v>0</v>
      </c>
      <c r="U147" s="5">
        <f t="shared" si="38"/>
        <v>0</v>
      </c>
    </row>
    <row r="148" spans="1:21" x14ac:dyDescent="0.25">
      <c r="A148" s="11"/>
      <c r="B148" s="6" t="s">
        <v>204</v>
      </c>
      <c r="C148" s="9">
        <v>0</v>
      </c>
      <c r="D148" s="6"/>
      <c r="E148" s="8">
        <v>0.04</v>
      </c>
      <c r="F148" s="49">
        <v>0</v>
      </c>
      <c r="G148" s="9"/>
      <c r="H148" s="9">
        <v>36.9</v>
      </c>
      <c r="I148" s="48">
        <v>0.115</v>
      </c>
      <c r="J148" s="78" cm="1">
        <f t="array" ref="J148">IF(H148&lt;12.5, H148/2,
IF(H148&lt;29, 6.25,
IF(H148&lt;50, 6.5,
IF(H148&lt;79, 6.75,
VALUE(SUBSTITUTE(
INDEX(RESUMO!$J$2:$J$100, MATCH(1,
(D148&gt;=RESUMO!$H$2:$H$100)*(D148&lt;=RESUMO!$I$2:$I$100)*(H148&gt;=RESUMO!$K$2:$K$100)*(H148&lt;=RESUMO!$L$2:$L$100),
0)), "R$ ", ""))
))))</f>
        <v>6.5</v>
      </c>
      <c r="K148" s="78">
        <v>0</v>
      </c>
      <c r="L148" s="10">
        <f t="shared" si="33"/>
        <v>0.70884823848238487</v>
      </c>
      <c r="M148" s="7"/>
      <c r="N148" s="48"/>
      <c r="O148" s="78" cm="1">
        <f t="array" ref="O148">IF(M148&lt;12.5, 0,
IF(M148&lt;29, 6.25,
IF(M148&lt;50, 6.5,
IF(M148&lt;79, 6.75,
VALUE(SUBSTITUTE(
INDEX(RESUMO!$J$2:$J$100, MATCH(1,
(D148&gt;=RESUMO!$H$2:$H$100)*(D148&lt;=RESUMO!$I$2:$I$100)*(M148&gt;=RESUMO!$K$2:$K$100)*(M148&lt;=RESUMO!$L$2:$L$100),
0)), "R$ ", ""))
))))</f>
        <v>0</v>
      </c>
      <c r="P148" s="9"/>
      <c r="Q148" s="10" t="e">
        <f t="shared" si="34"/>
        <v>#DIV/0!</v>
      </c>
      <c r="R148" s="5">
        <f t="shared" si="35"/>
        <v>26.156500000000001</v>
      </c>
      <c r="S148" s="5">
        <f t="shared" si="36"/>
        <v>26.156500000000001</v>
      </c>
      <c r="T148" s="5">
        <f t="shared" si="37"/>
        <v>0</v>
      </c>
      <c r="U148" s="5">
        <f t="shared" si="38"/>
        <v>0</v>
      </c>
    </row>
    <row r="149" spans="1:21" x14ac:dyDescent="0.25">
      <c r="A149" s="11"/>
      <c r="B149" s="6" t="s">
        <v>205</v>
      </c>
      <c r="C149" s="9">
        <v>0</v>
      </c>
      <c r="D149" s="6"/>
      <c r="E149" s="8">
        <v>0.04</v>
      </c>
      <c r="F149" s="49">
        <v>0</v>
      </c>
      <c r="G149" s="9"/>
      <c r="H149" s="9">
        <v>19.899999999999999</v>
      </c>
      <c r="I149" s="48">
        <v>0.12</v>
      </c>
      <c r="J149" s="78" cm="1">
        <f t="array" ref="J149">IF(H149&lt;12.5, H149/2,
IF(H149&lt;29, 6.25,
IF(H149&lt;50, 6.5,
IF(H149&lt;79, 6.75,
VALUE(SUBSTITUTE(
INDEX(RESUMO!$J$2:$J$100, MATCH(1,
(D149&gt;=RESUMO!$H$2:$H$100)*(D149&lt;=RESUMO!$I$2:$I$100)*(H149&gt;=RESUMO!$K$2:$K$100)*(H149&lt;=RESUMO!$L$2:$L$100),
0)), "R$ ", ""))
))))</f>
        <v>6.25</v>
      </c>
      <c r="K149" s="78">
        <v>0</v>
      </c>
      <c r="L149" s="10">
        <f t="shared" si="33"/>
        <v>0.56592964824120606</v>
      </c>
      <c r="M149" s="7"/>
      <c r="N149" s="48"/>
      <c r="O149" s="78" cm="1">
        <f t="array" ref="O149">IF(M149&lt;12.5, 0,
IF(M149&lt;29, 6.25,
IF(M149&lt;50, 6.5,
IF(M149&lt;79, 6.75,
VALUE(SUBSTITUTE(
INDEX(RESUMO!$J$2:$J$100, MATCH(1,
(D149&gt;=RESUMO!$H$2:$H$100)*(D149&lt;=RESUMO!$I$2:$I$100)*(M149&gt;=RESUMO!$K$2:$K$100)*(M149&lt;=RESUMO!$L$2:$L$100),
0)), "R$ ", ""))
))))</f>
        <v>0</v>
      </c>
      <c r="P149" s="9"/>
      <c r="Q149" s="10" t="e">
        <f t="shared" si="34"/>
        <v>#DIV/0!</v>
      </c>
      <c r="R149" s="5">
        <f t="shared" si="35"/>
        <v>11.262</v>
      </c>
      <c r="S149" s="5">
        <f t="shared" si="36"/>
        <v>11.262</v>
      </c>
      <c r="T149" s="5">
        <f t="shared" si="37"/>
        <v>0</v>
      </c>
      <c r="U149" s="5">
        <f t="shared" si="38"/>
        <v>0</v>
      </c>
    </row>
    <row r="150" spans="1:21" x14ac:dyDescent="0.25">
      <c r="A150" s="11"/>
      <c r="B150" s="6" t="s">
        <v>206</v>
      </c>
      <c r="C150" s="9">
        <v>0</v>
      </c>
      <c r="D150" s="6"/>
      <c r="E150" s="8">
        <v>0.04</v>
      </c>
      <c r="F150" s="49">
        <v>0</v>
      </c>
      <c r="G150" s="9"/>
      <c r="H150" s="9">
        <v>19.989999999999998</v>
      </c>
      <c r="I150" s="48">
        <v>0.12</v>
      </c>
      <c r="J150" s="78" cm="1">
        <f t="array" ref="J150">IF(H150&lt;12.5, H150/2,
IF(H150&lt;29, 6.25,
IF(H150&lt;50, 6.5,
IF(H150&lt;79, 6.75,
VALUE(SUBSTITUTE(
INDEX(RESUMO!$J$2:$J$100, MATCH(1,
(D150&gt;=RESUMO!$H$2:$H$100)*(D150&lt;=RESUMO!$I$2:$I$100)*(H150&gt;=RESUMO!$K$2:$K$100)*(H150&lt;=RESUMO!$L$2:$L$100),
0)), "R$ ", ""))
))))</f>
        <v>6.25</v>
      </c>
      <c r="K150" s="78">
        <v>0</v>
      </c>
      <c r="L150" s="10">
        <f t="shared" si="33"/>
        <v>0.56734367183591805</v>
      </c>
      <c r="M150" s="7"/>
      <c r="N150" s="48"/>
      <c r="O150" s="78" cm="1">
        <f t="array" ref="O150">IF(M150&lt;12.5, 0,
IF(M150&lt;29, 6.25,
IF(M150&lt;50, 6.5,
IF(M150&lt;79, 6.75,
VALUE(SUBSTITUTE(
INDEX(RESUMO!$J$2:$J$100, MATCH(1,
(D150&gt;=RESUMO!$H$2:$H$100)*(D150&lt;=RESUMO!$I$2:$I$100)*(M150&gt;=RESUMO!$K$2:$K$100)*(M150&lt;=RESUMO!$L$2:$L$100),
0)), "R$ ", ""))
))))</f>
        <v>0</v>
      </c>
      <c r="P150" s="9"/>
      <c r="Q150" s="10" t="e">
        <f t="shared" si="34"/>
        <v>#DIV/0!</v>
      </c>
      <c r="R150" s="5">
        <f t="shared" si="35"/>
        <v>11.341200000000001</v>
      </c>
      <c r="S150" s="5">
        <f t="shared" si="36"/>
        <v>11.341200000000001</v>
      </c>
      <c r="T150" s="5">
        <f t="shared" si="37"/>
        <v>0</v>
      </c>
      <c r="U150" s="5">
        <f t="shared" si="38"/>
        <v>0</v>
      </c>
    </row>
    <row r="151" spans="1:21" x14ac:dyDescent="0.25">
      <c r="A151" s="11"/>
      <c r="B151" s="6" t="s">
        <v>207</v>
      </c>
      <c r="C151" s="9">
        <v>0</v>
      </c>
      <c r="D151" s="6"/>
      <c r="E151" s="8">
        <v>0.04</v>
      </c>
      <c r="F151" s="49">
        <v>0</v>
      </c>
      <c r="G151" s="9"/>
      <c r="H151" s="9">
        <v>25</v>
      </c>
      <c r="I151" s="48">
        <v>0.115</v>
      </c>
      <c r="J151" s="78" cm="1">
        <f t="array" ref="J151">IF(H151&lt;12.5, H151/2,
IF(H151&lt;29, 6.25,
IF(H151&lt;50, 6.5,
IF(H151&lt;79, 6.75,
VALUE(SUBSTITUTE(
INDEX(RESUMO!$J$2:$J$100, MATCH(1,
(D151&gt;=RESUMO!$H$2:$H$100)*(D151&lt;=RESUMO!$I$2:$I$100)*(H151&gt;=RESUMO!$K$2:$K$100)*(H151&lt;=RESUMO!$L$2:$L$100),
0)), "R$ ", ""))
))))</f>
        <v>6.25</v>
      </c>
      <c r="K151" s="78">
        <v>0</v>
      </c>
      <c r="L151" s="10">
        <f t="shared" si="33"/>
        <v>0.63500000000000001</v>
      </c>
      <c r="M151" s="7"/>
      <c r="N151" s="48"/>
      <c r="O151" s="78" cm="1">
        <f t="array" ref="O151">IF(M151&lt;12.5, 0,
IF(M151&lt;29, 6.25,
IF(M151&lt;50, 6.5,
IF(M151&lt;79, 6.75,
VALUE(SUBSTITUTE(
INDEX(RESUMO!$J$2:$J$100, MATCH(1,
(D151&gt;=RESUMO!$H$2:$H$100)*(D151&lt;=RESUMO!$I$2:$I$100)*(M151&gt;=RESUMO!$K$2:$K$100)*(M151&lt;=RESUMO!$L$2:$L$100),
0)), "R$ ", ""))
))))</f>
        <v>0</v>
      </c>
      <c r="P151" s="9"/>
      <c r="Q151" s="10" t="e">
        <f t="shared" si="34"/>
        <v>#DIV/0!</v>
      </c>
      <c r="R151" s="5">
        <f t="shared" si="35"/>
        <v>15.875</v>
      </c>
      <c r="S151" s="5">
        <f t="shared" si="36"/>
        <v>15.875</v>
      </c>
      <c r="T151" s="5">
        <f t="shared" si="37"/>
        <v>0</v>
      </c>
      <c r="U151" s="5">
        <f t="shared" si="38"/>
        <v>0</v>
      </c>
    </row>
    <row r="152" spans="1:21" x14ac:dyDescent="0.25">
      <c r="A152" s="11"/>
      <c r="B152" s="6" t="s">
        <v>208</v>
      </c>
      <c r="C152" s="9">
        <v>0</v>
      </c>
      <c r="D152" s="6"/>
      <c r="E152" s="8">
        <v>0.04</v>
      </c>
      <c r="F152" s="49">
        <v>0</v>
      </c>
      <c r="G152" s="9"/>
      <c r="H152" s="9">
        <v>21.25</v>
      </c>
      <c r="I152" s="48">
        <v>0.125</v>
      </c>
      <c r="J152" s="78" cm="1">
        <f t="array" ref="J152">IF(H152&lt;12.5, H152/2,
IF(H152&lt;29, 6.25,
IF(H152&lt;50, 6.5,
IF(H152&lt;79, 6.75,
VALUE(SUBSTITUTE(
INDEX(RESUMO!$J$2:$J$100, MATCH(1,
(D152&gt;=RESUMO!$H$2:$H$100)*(D152&lt;=RESUMO!$I$2:$I$100)*(H152&gt;=RESUMO!$K$2:$K$100)*(H152&lt;=RESUMO!$L$2:$L$100),
0)), "R$ ", ""))
))))</f>
        <v>6.25</v>
      </c>
      <c r="K152" s="78">
        <v>0</v>
      </c>
      <c r="L152" s="10">
        <f t="shared" si="33"/>
        <v>0.58088235294117652</v>
      </c>
      <c r="M152" s="7"/>
      <c r="N152" s="48"/>
      <c r="O152" s="78" cm="1">
        <f t="array" ref="O152">IF(M152&lt;12.5, 0,
IF(M152&lt;29, 6.25,
IF(M152&lt;50, 6.5,
IF(M152&lt;79, 6.75,
VALUE(SUBSTITUTE(
INDEX(RESUMO!$J$2:$J$100, MATCH(1,
(D152&gt;=RESUMO!$H$2:$H$100)*(D152&lt;=RESUMO!$I$2:$I$100)*(M152&gt;=RESUMO!$K$2:$K$100)*(M152&lt;=RESUMO!$L$2:$L$100),
0)), "R$ ", ""))
))))</f>
        <v>0</v>
      </c>
      <c r="P152" s="9"/>
      <c r="Q152" s="10" t="e">
        <f t="shared" si="34"/>
        <v>#DIV/0!</v>
      </c>
      <c r="R152" s="5">
        <f t="shared" si="35"/>
        <v>12.34375</v>
      </c>
      <c r="S152" s="5">
        <f t="shared" si="36"/>
        <v>12.34375</v>
      </c>
      <c r="T152" s="5">
        <f t="shared" si="37"/>
        <v>0</v>
      </c>
      <c r="U152" s="5">
        <f t="shared" si="38"/>
        <v>0</v>
      </c>
    </row>
    <row r="153" spans="1:21" x14ac:dyDescent="0.25">
      <c r="A153" s="11"/>
      <c r="B153" s="6" t="s">
        <v>209</v>
      </c>
      <c r="C153" s="9">
        <v>0</v>
      </c>
      <c r="D153" s="6"/>
      <c r="E153" s="8">
        <v>0.04</v>
      </c>
      <c r="F153" s="49">
        <v>0</v>
      </c>
      <c r="G153" s="9"/>
      <c r="H153" s="9">
        <v>35.5</v>
      </c>
      <c r="I153" s="48">
        <v>0.125</v>
      </c>
      <c r="J153" s="78" cm="1">
        <f t="array" ref="J153">IF(H153&lt;12.5, H153/2,
IF(H153&lt;29, 6.25,
IF(H153&lt;50, 6.5,
IF(H153&lt;79, 6.75,
VALUE(SUBSTITUTE(
INDEX(RESUMO!$J$2:$J$100, MATCH(1,
(D153&gt;=RESUMO!$H$2:$H$100)*(D153&lt;=RESUMO!$I$2:$I$100)*(H153&gt;=RESUMO!$K$2:$K$100)*(H153&lt;=RESUMO!$L$2:$L$100),
0)), "R$ ", ""))
))))</f>
        <v>6.5</v>
      </c>
      <c r="K153" s="78">
        <v>0</v>
      </c>
      <c r="L153" s="10">
        <f t="shared" si="33"/>
        <v>0.69190140845070425</v>
      </c>
      <c r="M153" s="7"/>
      <c r="N153" s="48"/>
      <c r="O153" s="78" cm="1">
        <f t="array" ref="O153">IF(M153&lt;12.5, 0,
IF(M153&lt;29, 6.25,
IF(M153&lt;50, 6.5,
IF(M153&lt;79, 6.75,
VALUE(SUBSTITUTE(
INDEX(RESUMO!$J$2:$J$100, MATCH(1,
(D153&gt;=RESUMO!$H$2:$H$100)*(D153&lt;=RESUMO!$I$2:$I$100)*(M153&gt;=RESUMO!$K$2:$K$100)*(M153&lt;=RESUMO!$L$2:$L$100),
0)), "R$ ", ""))
))))</f>
        <v>0</v>
      </c>
      <c r="P153" s="9"/>
      <c r="Q153" s="10" t="e">
        <f t="shared" si="34"/>
        <v>#DIV/0!</v>
      </c>
      <c r="R153" s="5">
        <f t="shared" si="35"/>
        <v>24.5625</v>
      </c>
      <c r="S153" s="5">
        <f t="shared" si="36"/>
        <v>24.5625</v>
      </c>
      <c r="T153" s="5">
        <f t="shared" si="37"/>
        <v>0</v>
      </c>
      <c r="U153" s="5">
        <f t="shared" si="38"/>
        <v>0</v>
      </c>
    </row>
    <row r="154" spans="1:21" x14ac:dyDescent="0.25">
      <c r="A154" s="11"/>
      <c r="B154" s="6" t="s">
        <v>210</v>
      </c>
      <c r="C154" s="9">
        <v>0</v>
      </c>
      <c r="D154" s="6"/>
      <c r="E154" s="8">
        <v>0.04</v>
      </c>
      <c r="F154" s="49">
        <v>0</v>
      </c>
      <c r="G154" s="9"/>
      <c r="H154" s="9">
        <v>67.900000000000006</v>
      </c>
      <c r="I154" s="48">
        <v>0.115</v>
      </c>
      <c r="J154" s="78" cm="1">
        <f t="array" ref="J154">IF(H154&lt;12.5, H154/2,
IF(H154&lt;29, 6.25,
IF(H154&lt;50, 6.5,
IF(H154&lt;79, 6.75,
VALUE(SUBSTITUTE(
INDEX(RESUMO!$J$2:$J$100, MATCH(1,
(D154&gt;=RESUMO!$H$2:$H$100)*(D154&lt;=RESUMO!$I$2:$I$100)*(H154&gt;=RESUMO!$K$2:$K$100)*(H154&lt;=RESUMO!$L$2:$L$100),
0)), "R$ ", ""))
))))</f>
        <v>6.75</v>
      </c>
      <c r="K154" s="78">
        <v>0</v>
      </c>
      <c r="L154" s="10">
        <f t="shared" si="33"/>
        <v>0.78558910162002948</v>
      </c>
      <c r="M154" s="7"/>
      <c r="N154" s="48"/>
      <c r="O154" s="78" cm="1">
        <f t="array" ref="O154">IF(M154&lt;12.5, 0,
IF(M154&lt;29, 6.25,
IF(M154&lt;50, 6.5,
IF(M154&lt;79, 6.75,
VALUE(SUBSTITUTE(
INDEX(RESUMO!$J$2:$J$100, MATCH(1,
(D154&gt;=RESUMO!$H$2:$H$100)*(D154&lt;=RESUMO!$I$2:$I$100)*(M154&gt;=RESUMO!$K$2:$K$100)*(M154&lt;=RESUMO!$L$2:$L$100),
0)), "R$ ", ""))
))))</f>
        <v>0</v>
      </c>
      <c r="P154" s="9"/>
      <c r="Q154" s="10" t="e">
        <f t="shared" si="34"/>
        <v>#DIV/0!</v>
      </c>
      <c r="R154" s="5">
        <f t="shared" si="35"/>
        <v>53.341500000000003</v>
      </c>
      <c r="S154" s="5">
        <f t="shared" si="36"/>
        <v>53.341500000000003</v>
      </c>
      <c r="T154" s="5">
        <f t="shared" si="37"/>
        <v>0</v>
      </c>
      <c r="U154" s="5">
        <f t="shared" si="38"/>
        <v>0</v>
      </c>
    </row>
    <row r="155" spans="1:21" x14ac:dyDescent="0.25">
      <c r="A155" s="11"/>
      <c r="B155" s="6" t="s">
        <v>211</v>
      </c>
      <c r="C155" s="9">
        <v>0</v>
      </c>
      <c r="D155" s="6"/>
      <c r="E155" s="8">
        <v>0.04</v>
      </c>
      <c r="F155" s="49">
        <v>0</v>
      </c>
      <c r="G155" s="9"/>
      <c r="H155" s="9">
        <v>799.9</v>
      </c>
      <c r="I155" s="48">
        <v>0.115</v>
      </c>
      <c r="J155" s="78" cm="1">
        <f t="array" ref="J155">IF(H155&lt;12.5, H155/2,
IF(H155&lt;29, 6.25,
IF(H155&lt;50, 6.5,
IF(H155&lt;79, 6.75,
VALUE(SUBSTITUTE(
INDEX(RESUMO!$J$2:$J$100, MATCH(1,
(D155&gt;=RESUMO!$H$2:$H$100)*(D155&lt;=RESUMO!$I$2:$I$100)*(H155&gt;=RESUMO!$K$2:$K$100)*(H155&lt;=RESUMO!$L$2:$L$100),
0)), "R$ ", ""))
))))</f>
        <v>19.95</v>
      </c>
      <c r="K155" s="78">
        <v>0</v>
      </c>
      <c r="L155" s="10">
        <f t="shared" si="33"/>
        <v>0.86005938242280278</v>
      </c>
      <c r="M155" s="7"/>
      <c r="N155" s="48"/>
      <c r="O155" s="78" cm="1">
        <f t="array" ref="O155">IF(M155&lt;12.5, 0,
IF(M155&lt;29, 6.25,
IF(M155&lt;50, 6.5,
IF(M155&lt;79, 6.75,
VALUE(SUBSTITUTE(
INDEX(RESUMO!$J$2:$J$100, MATCH(1,
(D155&gt;=RESUMO!$H$2:$H$100)*(D155&lt;=RESUMO!$I$2:$I$100)*(M155&gt;=RESUMO!$K$2:$K$100)*(M155&lt;=RESUMO!$L$2:$L$100),
0)), "R$ ", ""))
))))</f>
        <v>0</v>
      </c>
      <c r="P155" s="9"/>
      <c r="Q155" s="10" t="e">
        <f t="shared" si="34"/>
        <v>#DIV/0!</v>
      </c>
      <c r="R155" s="5">
        <f t="shared" si="35"/>
        <v>687.96149999999989</v>
      </c>
      <c r="S155" s="5">
        <f t="shared" si="36"/>
        <v>687.96149999999989</v>
      </c>
      <c r="T155" s="5">
        <f t="shared" si="37"/>
        <v>0</v>
      </c>
      <c r="U155" s="5">
        <f t="shared" si="38"/>
        <v>0</v>
      </c>
    </row>
    <row r="156" spans="1:21" x14ac:dyDescent="0.25">
      <c r="A156" s="11"/>
      <c r="B156" s="6" t="s">
        <v>212</v>
      </c>
      <c r="C156" s="9">
        <v>0</v>
      </c>
      <c r="D156" s="6"/>
      <c r="E156" s="8">
        <v>0.04</v>
      </c>
      <c r="F156" s="49">
        <v>0</v>
      </c>
      <c r="G156" s="9"/>
      <c r="H156" s="9">
        <v>89.9</v>
      </c>
      <c r="I156" s="48">
        <v>0.115</v>
      </c>
      <c r="J156" s="78" cm="1">
        <f t="array" ref="J156">IF(H156&lt;12.5, H156/2,
IF(H156&lt;29, 6.25,
IF(H156&lt;50, 6.5,
IF(H156&lt;79, 6.75,
VALUE(SUBSTITUTE(
INDEX(RESUMO!$J$2:$J$100, MATCH(1,
(D156&gt;=RESUMO!$H$2:$H$100)*(D156&lt;=RESUMO!$I$2:$I$100)*(H156&gt;=RESUMO!$K$2:$K$100)*(H156&lt;=RESUMO!$L$2:$L$100),
0)), "R$ ", ""))
))))</f>
        <v>11.97</v>
      </c>
      <c r="K156" s="78">
        <v>0</v>
      </c>
      <c r="L156" s="10">
        <f t="shared" si="33"/>
        <v>0.75185205784204678</v>
      </c>
      <c r="M156" s="7"/>
      <c r="N156" s="48"/>
      <c r="O156" s="78" cm="1">
        <f t="array" ref="O156">IF(M156&lt;12.5, 0,
IF(M156&lt;29, 6.25,
IF(M156&lt;50, 6.5,
IF(M156&lt;79, 6.75,
VALUE(SUBSTITUTE(
INDEX(RESUMO!$J$2:$J$100, MATCH(1,
(D156&gt;=RESUMO!$H$2:$H$100)*(D156&lt;=RESUMO!$I$2:$I$100)*(M156&gt;=RESUMO!$K$2:$K$100)*(M156&lt;=RESUMO!$L$2:$L$100),
0)), "R$ ", ""))
))))</f>
        <v>0</v>
      </c>
      <c r="P156" s="9"/>
      <c r="Q156" s="10" t="e">
        <f t="shared" si="34"/>
        <v>#DIV/0!</v>
      </c>
      <c r="R156" s="5">
        <f t="shared" si="35"/>
        <v>67.591500000000011</v>
      </c>
      <c r="S156" s="5">
        <f t="shared" si="36"/>
        <v>67.591500000000011</v>
      </c>
      <c r="T156" s="5">
        <f t="shared" si="37"/>
        <v>0</v>
      </c>
      <c r="U156" s="5">
        <f t="shared" si="38"/>
        <v>0</v>
      </c>
    </row>
    <row r="157" spans="1:21" x14ac:dyDescent="0.25">
      <c r="A157" s="11"/>
      <c r="B157" s="6" t="s">
        <v>213</v>
      </c>
      <c r="C157" s="9">
        <v>0</v>
      </c>
      <c r="D157" s="6"/>
      <c r="E157" s="8">
        <v>0.04</v>
      </c>
      <c r="F157" s="49">
        <v>0</v>
      </c>
      <c r="G157" s="9"/>
      <c r="H157" s="9">
        <v>149.9</v>
      </c>
      <c r="I157" s="48">
        <v>0.115</v>
      </c>
      <c r="J157" s="78" cm="1">
        <f t="array" ref="J157">IF(H157&lt;12.5, H157/2,
IF(H157&lt;29, 6.25,
IF(H157&lt;50, 6.5,
IF(H157&lt;79, 6.75,
VALUE(SUBSTITUTE(
INDEX(RESUMO!$J$2:$J$100, MATCH(1,
(D157&gt;=RESUMO!$H$2:$H$100)*(D157&lt;=RESUMO!$I$2:$I$100)*(H157&gt;=RESUMO!$K$2:$K$100)*(H157&lt;=RESUMO!$L$2:$L$100),
0)), "R$ ", ""))
))))</f>
        <v>15.96</v>
      </c>
      <c r="K157" s="78">
        <v>0</v>
      </c>
      <c r="L157" s="10">
        <f t="shared" si="33"/>
        <v>0.77852901934623064</v>
      </c>
      <c r="M157" s="7"/>
      <c r="N157" s="48"/>
      <c r="O157" s="78" cm="1">
        <f t="array" ref="O157">IF(M157&lt;12.5, 0,
IF(M157&lt;29, 6.25,
IF(M157&lt;50, 6.5,
IF(M157&lt;79, 6.75,
VALUE(SUBSTITUTE(
INDEX(RESUMO!$J$2:$J$100, MATCH(1,
(D157&gt;=RESUMO!$H$2:$H$100)*(D157&lt;=RESUMO!$I$2:$I$100)*(M157&gt;=RESUMO!$K$2:$K$100)*(M157&lt;=RESUMO!$L$2:$L$100),
0)), "R$ ", ""))
))))</f>
        <v>0</v>
      </c>
      <c r="P157" s="9"/>
      <c r="Q157" s="10" t="e">
        <f t="shared" si="34"/>
        <v>#DIV/0!</v>
      </c>
      <c r="R157" s="5">
        <f t="shared" si="35"/>
        <v>116.70149999999998</v>
      </c>
      <c r="S157" s="5">
        <f t="shared" si="36"/>
        <v>116.70149999999998</v>
      </c>
      <c r="T157" s="5">
        <f t="shared" si="37"/>
        <v>0</v>
      </c>
      <c r="U157" s="5">
        <f t="shared" si="38"/>
        <v>0</v>
      </c>
    </row>
    <row r="158" spans="1:21" x14ac:dyDescent="0.25">
      <c r="A158" s="11"/>
      <c r="B158" s="6" t="s">
        <v>214</v>
      </c>
      <c r="C158" s="9">
        <v>0</v>
      </c>
      <c r="D158" s="6"/>
      <c r="E158" s="8">
        <v>0.04</v>
      </c>
      <c r="F158" s="49">
        <v>0</v>
      </c>
      <c r="G158" s="9"/>
      <c r="H158" s="9">
        <v>185</v>
      </c>
      <c r="I158" s="48">
        <v>0.115</v>
      </c>
      <c r="J158" s="78" cm="1">
        <f t="array" ref="J158">IF(H158&lt;12.5, H158/2,
IF(H158&lt;29, 6.25,
IF(H158&lt;50, 6.5,
IF(H158&lt;79, 6.75,
VALUE(SUBSTITUTE(
INDEX(RESUMO!$J$2:$J$100, MATCH(1,
(D158&gt;=RESUMO!$H$2:$H$100)*(D158&lt;=RESUMO!$I$2:$I$100)*(H158&gt;=RESUMO!$K$2:$K$100)*(H158&lt;=RESUMO!$L$2:$L$100),
0)), "R$ ", ""))
))))</f>
        <v>17.95</v>
      </c>
      <c r="K158" s="78">
        <v>0</v>
      </c>
      <c r="L158" s="10">
        <f t="shared" si="33"/>
        <v>0.78797297297297297</v>
      </c>
      <c r="M158" s="7"/>
      <c r="N158" s="48"/>
      <c r="O158" s="78" cm="1">
        <f t="array" ref="O158">IF(M158&lt;12.5, 0,
IF(M158&lt;29, 6.25,
IF(M158&lt;50, 6.5,
IF(M158&lt;79, 6.75,
VALUE(SUBSTITUTE(
INDEX(RESUMO!$J$2:$J$100, MATCH(1,
(D158&gt;=RESUMO!$H$2:$H$100)*(D158&lt;=RESUMO!$I$2:$I$100)*(M158&gt;=RESUMO!$K$2:$K$100)*(M158&lt;=RESUMO!$L$2:$L$100),
0)), "R$ ", ""))
))))</f>
        <v>0</v>
      </c>
      <c r="P158" s="9"/>
      <c r="Q158" s="10" t="e">
        <f t="shared" si="34"/>
        <v>#DIV/0!</v>
      </c>
      <c r="R158" s="5">
        <f t="shared" si="35"/>
        <v>145.77500000000001</v>
      </c>
      <c r="S158" s="5">
        <f t="shared" si="36"/>
        <v>145.77500000000001</v>
      </c>
      <c r="T158" s="5">
        <f t="shared" si="37"/>
        <v>0</v>
      </c>
      <c r="U158" s="5">
        <f t="shared" si="38"/>
        <v>0</v>
      </c>
    </row>
    <row r="159" spans="1:21" x14ac:dyDescent="0.25">
      <c r="A159" s="11"/>
      <c r="B159" s="6" t="s">
        <v>215</v>
      </c>
      <c r="C159" s="9">
        <v>0</v>
      </c>
      <c r="D159" s="6"/>
      <c r="E159" s="8">
        <v>0.04</v>
      </c>
      <c r="F159" s="49">
        <v>0</v>
      </c>
      <c r="G159" s="9"/>
      <c r="H159" s="9">
        <v>1135</v>
      </c>
      <c r="I159" s="48">
        <v>0.115</v>
      </c>
      <c r="J159" s="78" cm="1">
        <f t="array" ref="J159">IF(H159&lt;12.5, H159/2,
IF(H159&lt;29, 6.25,
IF(H159&lt;50, 6.5,
IF(H159&lt;79, 6.75,
VALUE(SUBSTITUTE(
INDEX(RESUMO!$J$2:$J$100, MATCH(1,
(D159&gt;=RESUMO!$H$2:$H$100)*(D159&lt;=RESUMO!$I$2:$I$100)*(H159&gt;=RESUMO!$K$2:$K$100)*(H159&lt;=RESUMO!$L$2:$L$100),
0)), "R$ ", ""))
))))</f>
        <v>19.95</v>
      </c>
      <c r="K159" s="78">
        <v>0</v>
      </c>
      <c r="L159" s="10">
        <f t="shared" si="33"/>
        <v>0.86742290748898676</v>
      </c>
      <c r="M159" s="7"/>
      <c r="N159" s="48"/>
      <c r="O159" s="78" cm="1">
        <f t="array" ref="O159">IF(M159&lt;12.5, 0,
IF(M159&lt;29, 6.25,
IF(M159&lt;50, 6.5,
IF(M159&lt;79, 6.75,
VALUE(SUBSTITUTE(
INDEX(RESUMO!$J$2:$J$100, MATCH(1,
(D159&gt;=RESUMO!$H$2:$H$100)*(D159&lt;=RESUMO!$I$2:$I$100)*(M159&gt;=RESUMO!$K$2:$K$100)*(M159&lt;=RESUMO!$L$2:$L$100),
0)), "R$ ", ""))
))))</f>
        <v>0</v>
      </c>
      <c r="P159" s="9"/>
      <c r="Q159" s="10" t="e">
        <f t="shared" si="34"/>
        <v>#DIV/0!</v>
      </c>
      <c r="R159" s="5">
        <f t="shared" si="35"/>
        <v>984.52499999999998</v>
      </c>
      <c r="S159" s="5">
        <f t="shared" si="36"/>
        <v>984.52499999999998</v>
      </c>
      <c r="T159" s="5">
        <f t="shared" si="37"/>
        <v>0</v>
      </c>
      <c r="U159" s="5">
        <f t="shared" si="38"/>
        <v>0</v>
      </c>
    </row>
    <row r="160" spans="1:21" x14ac:dyDescent="0.25">
      <c r="A160" s="11" t="s">
        <v>31</v>
      </c>
      <c r="B160" s="6" t="s">
        <v>216</v>
      </c>
      <c r="C160" s="9">
        <v>649.9</v>
      </c>
      <c r="D160" s="6"/>
      <c r="E160" s="8">
        <v>0.04</v>
      </c>
      <c r="F160" s="49">
        <v>0</v>
      </c>
      <c r="G160" s="9"/>
      <c r="H160" s="9">
        <v>839</v>
      </c>
      <c r="I160" s="48">
        <v>0.115</v>
      </c>
      <c r="J160" s="78" cm="1">
        <f t="array" ref="J160">IF(H160&lt;12.5, H160/2,
IF(H160&lt;29, 6.25,
IF(H160&lt;50, 6.5,
IF(H160&lt;79, 6.75,
VALUE(SUBSTITUTE(
INDEX(RESUMO!$J$2:$J$100, MATCH(1,
(D160&gt;=RESUMO!$H$2:$H$100)*(D160&lt;=RESUMO!$I$2:$I$100)*(H160&gt;=RESUMO!$K$2:$K$100)*(H160&lt;=RESUMO!$L$2:$L$100),
0)), "R$ ", ""))
))))</f>
        <v>19.95</v>
      </c>
      <c r="K160" s="78">
        <v>0</v>
      </c>
      <c r="L160" s="10">
        <f t="shared" si="33"/>
        <v>5.5624553039332517E-2</v>
      </c>
      <c r="M160" s="7">
        <v>889</v>
      </c>
      <c r="N160" s="48">
        <v>0.16500000000000001</v>
      </c>
      <c r="O160" s="78" cm="1">
        <f t="array" ref="O160">IF(M160&lt;12.5, 0,
IF(M160&lt;29, 6.25,
IF(M160&lt;50, 6.5,
IF(M160&lt;79, 6.75,
VALUE(SUBSTITUTE(
INDEX(RESUMO!$J$2:$J$100, MATCH(1,
(D160&gt;=RESUMO!$H$2:$H$100)*(D160&lt;=RESUMO!$I$2:$I$100)*(M160&gt;=RESUMO!$K$2:$K$100)*(M160&lt;=RESUMO!$L$2:$L$100),
0)), "R$ ", ""))
))))</f>
        <v>19.95</v>
      </c>
      <c r="P160" s="9">
        <v>0</v>
      </c>
      <c r="Q160" s="10">
        <f t="shared" si="34"/>
        <v>5.2271091113610856E-2</v>
      </c>
      <c r="R160" s="5">
        <f t="shared" si="35"/>
        <v>696.56899999999996</v>
      </c>
      <c r="S160" s="5">
        <f t="shared" si="36"/>
        <v>46.668999999999983</v>
      </c>
      <c r="T160" s="5">
        <f t="shared" si="37"/>
        <v>696.36900000000003</v>
      </c>
      <c r="U160" s="5">
        <f t="shared" si="38"/>
        <v>46.469000000000051</v>
      </c>
    </row>
    <row r="161" spans="1:21" x14ac:dyDescent="0.25">
      <c r="A161" s="11" t="s">
        <v>11</v>
      </c>
      <c r="B161" s="6" t="s">
        <v>217</v>
      </c>
      <c r="C161" s="9">
        <v>7.4</v>
      </c>
      <c r="D161" s="6"/>
      <c r="E161" s="8">
        <v>0.04</v>
      </c>
      <c r="F161" s="49">
        <v>0</v>
      </c>
      <c r="G161" s="9">
        <v>2</v>
      </c>
      <c r="H161" s="9">
        <v>17.25</v>
      </c>
      <c r="I161" s="48">
        <v>0.14000000000000001</v>
      </c>
      <c r="J161" s="78" cm="1">
        <f t="array" ref="J161">IF(H161&lt;12.5, H161/2,
IF(H161&lt;29, 6.25,
IF(H161&lt;50, 6.5,
IF(H161&lt;79, 6.75,
VALUE(SUBSTITUTE(
INDEX(RESUMO!$J$2:$J$100, MATCH(1,
(D161&gt;=RESUMO!$H$2:$H$100)*(D161&lt;=RESUMO!$I$2:$I$100)*(H161&gt;=RESUMO!$K$2:$K$100)*(H161&lt;=RESUMO!$L$2:$L$100),
0)), "R$ ", ""))
))))</f>
        <v>6.25</v>
      </c>
      <c r="K161" s="78">
        <v>0</v>
      </c>
      <c r="L161" s="10">
        <f t="shared" si="33"/>
        <v>5.1536231884058037E-2</v>
      </c>
      <c r="M161" s="7"/>
      <c r="N161" s="48"/>
      <c r="O161" s="78" cm="1">
        <f t="array" ref="O161">IF(M161&lt;12.5, 0,
IF(M161&lt;29, 6.25,
IF(M161&lt;50, 6.5,
IF(M161&lt;79, 6.75,
VALUE(SUBSTITUTE(
INDEX(RESUMO!$J$2:$J$100, MATCH(1,
(D161&gt;=RESUMO!$H$2:$H$100)*(D161&lt;=RESUMO!$I$2:$I$100)*(M161&gt;=RESUMO!$K$2:$K$100)*(M161&lt;=RESUMO!$L$2:$L$100),
0)), "R$ ", ""))
))))</f>
        <v>0</v>
      </c>
      <c r="P161" s="9"/>
      <c r="Q161" s="10" t="e">
        <f t="shared" si="34"/>
        <v>#DIV/0!</v>
      </c>
      <c r="R161" s="5">
        <f t="shared" si="35"/>
        <v>8.2890000000000015</v>
      </c>
      <c r="S161" s="5">
        <f t="shared" si="36"/>
        <v>0.88900000000000112</v>
      </c>
      <c r="T161" s="5">
        <f t="shared" si="37"/>
        <v>-0.29600000000000004</v>
      </c>
      <c r="U161" s="5">
        <f t="shared" si="38"/>
        <v>-7.6960000000000006</v>
      </c>
    </row>
    <row r="162" spans="1:21" x14ac:dyDescent="0.25">
      <c r="A162" s="11" t="s">
        <v>11</v>
      </c>
      <c r="B162" s="6" t="s">
        <v>218</v>
      </c>
      <c r="C162" s="9">
        <v>7.4</v>
      </c>
      <c r="D162" s="6"/>
      <c r="E162" s="8">
        <v>0.04</v>
      </c>
      <c r="F162" s="49">
        <v>0</v>
      </c>
      <c r="G162" s="9">
        <v>2</v>
      </c>
      <c r="H162" s="9">
        <v>16.25</v>
      </c>
      <c r="I162" s="48">
        <v>0.14000000000000001</v>
      </c>
      <c r="J162" s="78" cm="1">
        <f t="array" ref="J162">IF(H162&lt;12.5, H162/2,
IF(H162&lt;29, 6.25,
IF(H162&lt;50, 6.5,
IF(H162&lt;79, 6.75,
VALUE(SUBSTITUTE(
INDEX(RESUMO!$J$2:$J$100, MATCH(1,
(D162&gt;=RESUMO!$H$2:$H$100)*(D162&lt;=RESUMO!$I$2:$I$100)*(H162&gt;=RESUMO!$K$2:$K$100)*(H162&lt;=RESUMO!$L$2:$L$100),
0)), "R$ ", ""))
))))</f>
        <v>6.25</v>
      </c>
      <c r="K162" s="78">
        <v>0</v>
      </c>
      <c r="L162" s="10">
        <f t="shared" ref="L162:L220" si="41">S162/H162</f>
        <v>1.7846153846153246E-3</v>
      </c>
      <c r="M162" s="7"/>
      <c r="N162" s="48"/>
      <c r="O162" s="78" cm="1">
        <f t="array" ref="O162">IF(M162&lt;12.5, 0,
IF(M162&lt;29, 6.25,
IF(M162&lt;50, 6.5,
IF(M162&lt;79, 6.75,
VALUE(SUBSTITUTE(
INDEX(RESUMO!$J$2:$J$100, MATCH(1,
(D162&gt;=RESUMO!$H$2:$H$100)*(D162&lt;=RESUMO!$I$2:$I$100)*(M162&gt;=RESUMO!$K$2:$K$100)*(M162&lt;=RESUMO!$L$2:$L$100),
0)), "R$ ", ""))
))))</f>
        <v>0</v>
      </c>
      <c r="P162" s="9"/>
      <c r="Q162" s="10" t="e">
        <f t="shared" si="34"/>
        <v>#DIV/0!</v>
      </c>
      <c r="R162" s="5">
        <f t="shared" si="35"/>
        <v>7.4289999999999994</v>
      </c>
      <c r="S162" s="5">
        <f t="shared" si="36"/>
        <v>2.8999999999999027E-2</v>
      </c>
      <c r="T162" s="5">
        <f t="shared" si="37"/>
        <v>-0.29600000000000004</v>
      </c>
      <c r="U162" s="5">
        <f t="shared" si="38"/>
        <v>-7.6960000000000006</v>
      </c>
    </row>
    <row r="163" spans="1:21" x14ac:dyDescent="0.25">
      <c r="A163" s="11" t="s">
        <v>11</v>
      </c>
      <c r="B163" s="6" t="s">
        <v>219</v>
      </c>
      <c r="C163" s="9">
        <v>28.99</v>
      </c>
      <c r="D163" s="6"/>
      <c r="E163" s="8">
        <v>0.04</v>
      </c>
      <c r="F163" s="49">
        <v>0</v>
      </c>
      <c r="G163" s="9">
        <v>2</v>
      </c>
      <c r="H163" s="9">
        <v>42.9</v>
      </c>
      <c r="I163" s="48">
        <v>0.14000000000000001</v>
      </c>
      <c r="J163" s="78" cm="1">
        <f t="array" ref="J163">IF(H163&lt;12.5, H163/2,
IF(H163&lt;29, 6.25,
IF(H163&lt;50, 6.5,
IF(H163&lt;79, 6.75,
VALUE(SUBSTITUTE(
INDEX(RESUMO!$J$2:$J$100, MATCH(1,
(D163&gt;=RESUMO!$H$2:$H$100)*(D163&lt;=RESUMO!$I$2:$I$100)*(H163&gt;=RESUMO!$K$2:$K$100)*(H163&lt;=RESUMO!$L$2:$L$100),
0)), "R$ ", ""))
))))</f>
        <v>6.5</v>
      </c>
      <c r="K163" s="78">
        <v>0</v>
      </c>
      <c r="L163" s="10">
        <f t="shared" si="41"/>
        <v>5.69696969696967E-3</v>
      </c>
      <c r="M163" s="7"/>
      <c r="N163" s="48"/>
      <c r="O163" s="78" cm="1">
        <f t="array" ref="O163">IF(M163&lt;12.5, 0,
IF(M163&lt;29, 6.25,
IF(M163&lt;50, 6.5,
IF(M163&lt;79, 6.75,
VALUE(SUBSTITUTE(
INDEX(RESUMO!$J$2:$J$100, MATCH(1,
(D163&gt;=RESUMO!$H$2:$H$100)*(D163&lt;=RESUMO!$I$2:$I$100)*(M163&gt;=RESUMO!$K$2:$K$100)*(M163&lt;=RESUMO!$L$2:$L$100),
0)), "R$ ", ""))
))))</f>
        <v>0</v>
      </c>
      <c r="P163" s="9"/>
      <c r="Q163" s="10" t="e">
        <f t="shared" si="34"/>
        <v>#DIV/0!</v>
      </c>
      <c r="R163" s="5">
        <f t="shared" si="35"/>
        <v>29.234399999999997</v>
      </c>
      <c r="S163" s="5">
        <f t="shared" si="36"/>
        <v>0.24439999999999884</v>
      </c>
      <c r="T163" s="5">
        <f t="shared" si="37"/>
        <v>-1.1596</v>
      </c>
      <c r="U163" s="5">
        <f t="shared" si="38"/>
        <v>-30.1496</v>
      </c>
    </row>
    <row r="164" spans="1:21" x14ac:dyDescent="0.25">
      <c r="A164" s="11" t="s">
        <v>11</v>
      </c>
      <c r="B164" s="6" t="s">
        <v>220</v>
      </c>
      <c r="C164" s="9">
        <v>3.65</v>
      </c>
      <c r="D164" s="6"/>
      <c r="E164" s="8">
        <v>0.04</v>
      </c>
      <c r="F164" s="49">
        <v>0</v>
      </c>
      <c r="G164" s="9">
        <v>0</v>
      </c>
      <c r="H164" s="9">
        <v>13.05</v>
      </c>
      <c r="I164" s="48">
        <v>0.14000000000000001</v>
      </c>
      <c r="J164" s="78" cm="1">
        <f t="array" ref="J164">IF(H164&lt;12.5, H164/2,
IF(H164&lt;29, 6.25,
IF(H164&lt;50, 6.5,
IF(H164&lt;79, 6.75,
VALUE(SUBSTITUTE(
INDEX(RESUMO!$J$2:$J$100, MATCH(1,
(D164&gt;=RESUMO!$H$2:$H$100)*(D164&lt;=RESUMO!$I$2:$I$100)*(H164&gt;=RESUMO!$K$2:$K$100)*(H164&lt;=RESUMO!$L$2:$L$100),
0)), "R$ ", ""))
))))</f>
        <v>6.25</v>
      </c>
      <c r="K164" s="78">
        <v>0</v>
      </c>
      <c r="L164" s="10">
        <f t="shared" si="41"/>
        <v>9.0191570881226119E-2</v>
      </c>
      <c r="M164" s="7"/>
      <c r="N164" s="48"/>
      <c r="O164" s="78" cm="1">
        <f t="array" ref="O164">IF(M164&lt;12.5, 0,
IF(M164&lt;29, 6.25,
IF(M164&lt;50, 6.5,
IF(M164&lt;79, 6.75,
VALUE(SUBSTITUTE(
INDEX(RESUMO!$J$2:$J$100, MATCH(1,
(D164&gt;=RESUMO!$H$2:$H$100)*(D164&lt;=RESUMO!$I$2:$I$100)*(M164&gt;=RESUMO!$K$2:$K$100)*(M164&lt;=RESUMO!$L$2:$L$100),
0)), "R$ ", ""))
))))</f>
        <v>0</v>
      </c>
      <c r="P164" s="9"/>
      <c r="Q164" s="10" t="e">
        <f t="shared" si="34"/>
        <v>#DIV/0!</v>
      </c>
      <c r="R164" s="5">
        <f t="shared" si="35"/>
        <v>4.8270000000000008</v>
      </c>
      <c r="S164" s="5">
        <f t="shared" si="36"/>
        <v>1.1770000000000009</v>
      </c>
      <c r="T164" s="5">
        <f t="shared" si="37"/>
        <v>-0.14599999999999999</v>
      </c>
      <c r="U164" s="5">
        <f t="shared" si="38"/>
        <v>-3.7959999999999998</v>
      </c>
    </row>
    <row r="165" spans="1:21" x14ac:dyDescent="0.25">
      <c r="A165" s="11" t="s">
        <v>11</v>
      </c>
      <c r="B165" s="6" t="s">
        <v>221</v>
      </c>
      <c r="C165" s="9">
        <v>3.95</v>
      </c>
      <c r="D165" s="6"/>
      <c r="E165" s="8">
        <v>0.04</v>
      </c>
      <c r="F165" s="49">
        <v>0</v>
      </c>
      <c r="G165" s="9">
        <v>0</v>
      </c>
      <c r="H165" s="9">
        <v>12.96</v>
      </c>
      <c r="I165" s="48">
        <v>0.14000000000000001</v>
      </c>
      <c r="J165" s="78" cm="1">
        <f t="array" ref="J165">IF(H165&lt;12.5, H165/2,
IF(H165&lt;29, 6.25,
IF(H165&lt;50, 6.5,
IF(H165&lt;79, 6.75,
VALUE(SUBSTITUTE(
INDEX(RESUMO!$J$2:$J$100, MATCH(1,
(D165&gt;=RESUMO!$H$2:$H$100)*(D165&lt;=RESUMO!$I$2:$I$100)*(H165&gt;=RESUMO!$K$2:$K$100)*(H165&lt;=RESUMO!$L$2:$L$100),
0)), "R$ ", ""))
))))</f>
        <v>6.25</v>
      </c>
      <c r="K165" s="78">
        <v>0</v>
      </c>
      <c r="L165" s="10">
        <f t="shared" si="41"/>
        <v>6.0771604938271558E-2</v>
      </c>
      <c r="M165" s="7"/>
      <c r="N165" s="48"/>
      <c r="O165" s="78" cm="1">
        <f t="array" ref="O165">IF(M165&lt;12.5, 0,
IF(M165&lt;29, 6.25,
IF(M165&lt;50, 6.5,
IF(M165&lt;79, 6.75,
VALUE(SUBSTITUTE(
INDEX(RESUMO!$J$2:$J$100, MATCH(1,
(D165&gt;=RESUMO!$H$2:$H$100)*(D165&lt;=RESUMO!$I$2:$I$100)*(M165&gt;=RESUMO!$K$2:$K$100)*(M165&lt;=RESUMO!$L$2:$L$100),
0)), "R$ ", ""))
))))</f>
        <v>0</v>
      </c>
      <c r="P165" s="9"/>
      <c r="Q165" s="10" t="e">
        <f t="shared" si="34"/>
        <v>#DIV/0!</v>
      </c>
      <c r="R165" s="5">
        <f t="shared" si="35"/>
        <v>4.7375999999999996</v>
      </c>
      <c r="S165" s="5">
        <f t="shared" si="36"/>
        <v>0.78759999999999941</v>
      </c>
      <c r="T165" s="5">
        <f t="shared" si="37"/>
        <v>-0.158</v>
      </c>
      <c r="U165" s="5">
        <f t="shared" si="38"/>
        <v>-4.1080000000000005</v>
      </c>
    </row>
    <row r="166" spans="1:21" x14ac:dyDescent="0.25">
      <c r="A166" s="11" t="s">
        <v>11</v>
      </c>
      <c r="B166" s="6" t="s">
        <v>222</v>
      </c>
      <c r="C166" s="9">
        <v>29.45</v>
      </c>
      <c r="D166" s="6"/>
      <c r="E166" s="8">
        <v>0.04</v>
      </c>
      <c r="F166" s="49">
        <v>0</v>
      </c>
      <c r="G166" s="9">
        <v>2</v>
      </c>
      <c r="H166" s="9">
        <v>43.5</v>
      </c>
      <c r="I166" s="48">
        <v>0.14000000000000001</v>
      </c>
      <c r="J166" s="78" cm="1">
        <f t="array" ref="J166">IF(H166&lt;12.5, H166/2,
IF(H166&lt;29, 6.25,
IF(H166&lt;50, 6.5,
IF(H166&lt;79, 6.75,
VALUE(SUBSTITUTE(
INDEX(RESUMO!$J$2:$J$100, MATCH(1,
(D166&gt;=RESUMO!$H$2:$H$100)*(D166&lt;=RESUMO!$I$2:$I$100)*(H166&gt;=RESUMO!$K$2:$K$100)*(H166&lt;=RESUMO!$L$2:$L$100),
0)), "R$ ", ""))
))))</f>
        <v>6.5</v>
      </c>
      <c r="K166" s="78">
        <v>0</v>
      </c>
      <c r="L166" s="10">
        <f t="shared" si="41"/>
        <v>6.4827586206895743E-3</v>
      </c>
      <c r="M166" s="7"/>
      <c r="N166" s="48"/>
      <c r="O166" s="78" cm="1">
        <f t="array" ref="O166">IF(M166&lt;12.5, 0,
IF(M166&lt;29, 6.25,
IF(M166&lt;50, 6.5,
IF(M166&lt;79, 6.75,
VALUE(SUBSTITUTE(
INDEX(RESUMO!$J$2:$J$100, MATCH(1,
(D166&gt;=RESUMO!$H$2:$H$100)*(D166&lt;=RESUMO!$I$2:$I$100)*(M166&gt;=RESUMO!$K$2:$K$100)*(M166&lt;=RESUMO!$L$2:$L$100),
0)), "R$ ", ""))
))))</f>
        <v>0</v>
      </c>
      <c r="P166" s="9"/>
      <c r="Q166" s="10" t="e">
        <f t="shared" si="34"/>
        <v>#DIV/0!</v>
      </c>
      <c r="R166" s="5">
        <f t="shared" si="35"/>
        <v>29.731999999999996</v>
      </c>
      <c r="S166" s="5">
        <f t="shared" si="36"/>
        <v>0.28199999999999648</v>
      </c>
      <c r="T166" s="5">
        <f t="shared" si="37"/>
        <v>-1.1779999999999999</v>
      </c>
      <c r="U166" s="5">
        <f t="shared" si="38"/>
        <v>-30.628</v>
      </c>
    </row>
    <row r="167" spans="1:21" x14ac:dyDescent="0.25">
      <c r="A167" s="11" t="s">
        <v>11</v>
      </c>
      <c r="B167" s="6" t="s">
        <v>223</v>
      </c>
      <c r="C167" s="9">
        <v>34.6</v>
      </c>
      <c r="D167" s="6"/>
      <c r="E167" s="8">
        <v>0.04</v>
      </c>
      <c r="F167" s="49">
        <v>0</v>
      </c>
      <c r="G167" s="9">
        <v>2</v>
      </c>
      <c r="H167" s="9">
        <v>49.5</v>
      </c>
      <c r="I167" s="48">
        <v>0.14000000000000001</v>
      </c>
      <c r="J167" s="78" cm="1">
        <f t="array" ref="J167">IF(H167&lt;12.5, H167/2,
IF(H167&lt;29, 6.25,
IF(H167&lt;50, 6.5,
IF(H167&lt;79, 6.75,
VALUE(SUBSTITUTE(
INDEX(RESUMO!$J$2:$J$100, MATCH(1,
(D167&gt;=RESUMO!$H$2:$H$100)*(D167&lt;=RESUMO!$I$2:$I$100)*(H167&gt;=RESUMO!$K$2:$K$100)*(H167&lt;=RESUMO!$L$2:$L$100),
0)), "R$ ", ""))
))))</f>
        <v>6.5</v>
      </c>
      <c r="K167" s="78">
        <v>0</v>
      </c>
      <c r="L167" s="10">
        <f t="shared" si="41"/>
        <v>1.7373737373737076E-3</v>
      </c>
      <c r="M167" s="7"/>
      <c r="N167" s="48"/>
      <c r="O167" s="78" cm="1">
        <f t="array" ref="O167">IF(M167&lt;12.5, 0,
IF(M167&lt;29, 6.25,
IF(M167&lt;50, 6.5,
IF(M167&lt;79, 6.75,
VALUE(SUBSTITUTE(
INDEX(RESUMO!$J$2:$J$100, MATCH(1,
(D167&gt;=RESUMO!$H$2:$H$100)*(D167&lt;=RESUMO!$I$2:$I$100)*(M167&gt;=RESUMO!$K$2:$K$100)*(M167&lt;=RESUMO!$L$2:$L$100),
0)), "R$ ", ""))
))))</f>
        <v>0</v>
      </c>
      <c r="P167" s="9"/>
      <c r="Q167" s="10" t="e">
        <f t="shared" si="34"/>
        <v>#DIV/0!</v>
      </c>
      <c r="R167" s="5">
        <f t="shared" si="35"/>
        <v>34.686</v>
      </c>
      <c r="S167" s="5">
        <f t="shared" si="36"/>
        <v>8.5999999999998522E-2</v>
      </c>
      <c r="T167" s="5">
        <f t="shared" si="37"/>
        <v>-1.3840000000000001</v>
      </c>
      <c r="U167" s="5">
        <f t="shared" si="38"/>
        <v>-35.984000000000002</v>
      </c>
    </row>
    <row r="168" spans="1:21" x14ac:dyDescent="0.25">
      <c r="A168" s="11" t="s">
        <v>11</v>
      </c>
      <c r="B168" s="6" t="s">
        <v>224</v>
      </c>
      <c r="C168" s="9">
        <v>4.5</v>
      </c>
      <c r="D168" s="6"/>
      <c r="E168" s="8">
        <v>0.04</v>
      </c>
      <c r="F168" s="49">
        <v>0</v>
      </c>
      <c r="G168" s="9">
        <v>0</v>
      </c>
      <c r="H168" s="9">
        <v>13.7</v>
      </c>
      <c r="I168" s="48">
        <v>0.14000000000000001</v>
      </c>
      <c r="J168" s="78" cm="1">
        <f t="array" ref="J168">IF(H168&lt;12.5, H168/2,
IF(H168&lt;29, 6.25,
IF(H168&lt;50, 6.5,
IF(H168&lt;79, 6.75,
VALUE(SUBSTITUTE(
INDEX(RESUMO!$J$2:$J$100, MATCH(1,
(D168&gt;=RESUMO!$H$2:$H$100)*(D168&lt;=RESUMO!$I$2:$I$100)*(H168&gt;=RESUMO!$K$2:$K$100)*(H168&lt;=RESUMO!$L$2:$L$100),
0)), "R$ ", ""))
))))</f>
        <v>6.25</v>
      </c>
      <c r="K168" s="78">
        <v>0</v>
      </c>
      <c r="L168" s="10">
        <f t="shared" si="41"/>
        <v>6.2189781021897837E-2</v>
      </c>
      <c r="M168" s="7"/>
      <c r="N168" s="48"/>
      <c r="O168" s="78" cm="1">
        <f t="array" ref="O168">IF(M168&lt;12.5, 0,
IF(M168&lt;29, 6.25,
IF(M168&lt;50, 6.5,
IF(M168&lt;79, 6.75,
VALUE(SUBSTITUTE(
INDEX(RESUMO!$J$2:$J$100, MATCH(1,
(D168&gt;=RESUMO!$H$2:$H$100)*(D168&lt;=RESUMO!$I$2:$I$100)*(M168&gt;=RESUMO!$K$2:$K$100)*(M168&lt;=RESUMO!$L$2:$L$100),
0)), "R$ ", ""))
))))</f>
        <v>0</v>
      </c>
      <c r="P168" s="9"/>
      <c r="Q168" s="10" t="e">
        <f t="shared" si="34"/>
        <v>#DIV/0!</v>
      </c>
      <c r="R168" s="5">
        <f t="shared" si="35"/>
        <v>5.3520000000000003</v>
      </c>
      <c r="S168" s="5">
        <f t="shared" si="36"/>
        <v>0.85200000000000031</v>
      </c>
      <c r="T168" s="5">
        <f t="shared" si="37"/>
        <v>-0.18</v>
      </c>
      <c r="U168" s="5">
        <f t="shared" si="38"/>
        <v>-4.68</v>
      </c>
    </row>
    <row r="169" spans="1:21" x14ac:dyDescent="0.25">
      <c r="A169" s="11" t="s">
        <v>11</v>
      </c>
      <c r="B169" s="6" t="s">
        <v>225</v>
      </c>
      <c r="C169" s="9">
        <v>3.95</v>
      </c>
      <c r="D169" s="6"/>
      <c r="E169" s="8">
        <v>0.04</v>
      </c>
      <c r="F169" s="49">
        <v>0</v>
      </c>
      <c r="G169" s="9">
        <v>2</v>
      </c>
      <c r="H169" s="9">
        <v>12.8</v>
      </c>
      <c r="I169" s="48">
        <v>0.14000000000000001</v>
      </c>
      <c r="J169" s="78" cm="1">
        <f t="array" ref="J169">IF(H169&lt;12.5, H169/2,
IF(H169&lt;29, 6.25,
IF(H169&lt;50, 6.5,
IF(H169&lt;79, 6.75,
VALUE(SUBSTITUTE(
INDEX(RESUMO!$J$2:$J$100, MATCH(1,
(D169&gt;=RESUMO!$H$2:$H$100)*(D169&lt;=RESUMO!$I$2:$I$100)*(H169&gt;=RESUMO!$K$2:$K$100)*(H169&lt;=RESUMO!$L$2:$L$100),
0)), "R$ ", ""))
))))</f>
        <v>6.25</v>
      </c>
      <c r="K169" s="78">
        <v>0</v>
      </c>
      <c r="L169" s="10">
        <f t="shared" si="41"/>
        <v>5.0781250000000028E-2</v>
      </c>
      <c r="M169" s="7"/>
      <c r="N169" s="48"/>
      <c r="O169" s="78" cm="1">
        <f t="array" ref="O169">IF(M169&lt;12.5, 0,
IF(M169&lt;29, 6.25,
IF(M169&lt;50, 6.5,
IF(M169&lt;79, 6.75,
VALUE(SUBSTITUTE(
INDEX(RESUMO!$J$2:$J$100, MATCH(1,
(D169&gt;=RESUMO!$H$2:$H$100)*(D169&lt;=RESUMO!$I$2:$I$100)*(M169&gt;=RESUMO!$K$2:$K$100)*(M169&lt;=RESUMO!$L$2:$L$100),
0)), "R$ ", ""))
))))</f>
        <v>0</v>
      </c>
      <c r="P169" s="9"/>
      <c r="Q169" s="10" t="e">
        <f t="shared" si="34"/>
        <v>#DIV/0!</v>
      </c>
      <c r="R169" s="5">
        <f t="shared" si="35"/>
        <v>4.6000000000000005</v>
      </c>
      <c r="S169" s="5">
        <f t="shared" si="36"/>
        <v>0.65000000000000036</v>
      </c>
      <c r="T169" s="5">
        <f t="shared" si="37"/>
        <v>-0.158</v>
      </c>
      <c r="U169" s="5">
        <f t="shared" si="38"/>
        <v>-4.1080000000000005</v>
      </c>
    </row>
    <row r="170" spans="1:21" x14ac:dyDescent="0.25">
      <c r="A170" s="11" t="s">
        <v>11</v>
      </c>
      <c r="B170" s="6" t="s">
        <v>226</v>
      </c>
      <c r="C170" s="9">
        <v>29.45</v>
      </c>
      <c r="D170" s="6"/>
      <c r="E170" s="8">
        <v>0.04</v>
      </c>
      <c r="F170" s="49">
        <v>0</v>
      </c>
      <c r="G170" s="9">
        <v>2</v>
      </c>
      <c r="H170" s="9">
        <v>43.5</v>
      </c>
      <c r="I170" s="48">
        <v>0.14000000000000001</v>
      </c>
      <c r="J170" s="78" cm="1">
        <f t="array" ref="J170">IF(H170&lt;12.5, H170/2,
IF(H170&lt;29, 6.25,
IF(H170&lt;50, 6.5,
IF(H170&lt;79, 6.75,
VALUE(SUBSTITUTE(
INDEX(RESUMO!$J$2:$J$100, MATCH(1,
(D170&gt;=RESUMO!$H$2:$H$100)*(D170&lt;=RESUMO!$I$2:$I$100)*(H170&gt;=RESUMO!$K$2:$K$100)*(H170&lt;=RESUMO!$L$2:$L$100),
0)), "R$ ", ""))
))))</f>
        <v>6.5</v>
      </c>
      <c r="K170" s="78">
        <v>0</v>
      </c>
      <c r="L170" s="10">
        <f t="shared" si="41"/>
        <v>6.4827586206895743E-3</v>
      </c>
      <c r="M170" s="7"/>
      <c r="N170" s="48"/>
      <c r="O170" s="78" cm="1">
        <f t="array" ref="O170">IF(M170&lt;12.5, 0,
IF(M170&lt;29, 6.25,
IF(M170&lt;50, 6.5,
IF(M170&lt;79, 6.75,
VALUE(SUBSTITUTE(
INDEX(RESUMO!$J$2:$J$100, MATCH(1,
(D170&gt;=RESUMO!$H$2:$H$100)*(D170&lt;=RESUMO!$I$2:$I$100)*(M170&gt;=RESUMO!$K$2:$K$100)*(M170&lt;=RESUMO!$L$2:$L$100),
0)), "R$ ", ""))
))))</f>
        <v>0</v>
      </c>
      <c r="P170" s="9"/>
      <c r="Q170" s="10" t="e">
        <f t="shared" ref="Q170:Q228" si="42">U170/M170</f>
        <v>#DIV/0!</v>
      </c>
      <c r="R170" s="5">
        <f t="shared" si="35"/>
        <v>29.731999999999996</v>
      </c>
      <c r="S170" s="5">
        <f t="shared" si="36"/>
        <v>0.28199999999999648</v>
      </c>
      <c r="T170" s="5">
        <f t="shared" si="37"/>
        <v>-1.1779999999999999</v>
      </c>
      <c r="U170" s="5">
        <f t="shared" si="38"/>
        <v>-30.628</v>
      </c>
    </row>
    <row r="171" spans="1:21" x14ac:dyDescent="0.25">
      <c r="A171" s="11" t="s">
        <v>11</v>
      </c>
      <c r="B171" s="6" t="s">
        <v>227</v>
      </c>
      <c r="C171" s="9">
        <v>8.5</v>
      </c>
      <c r="D171" s="6"/>
      <c r="E171" s="8">
        <v>0.04</v>
      </c>
      <c r="F171" s="49">
        <v>0</v>
      </c>
      <c r="G171" s="9">
        <v>0</v>
      </c>
      <c r="H171" s="9">
        <v>19.7</v>
      </c>
      <c r="I171" s="48">
        <v>0.14000000000000001</v>
      </c>
      <c r="J171" s="78" cm="1">
        <f t="array" ref="J171">IF(H171&lt;12.5, H171/2,
IF(H171&lt;29, 6.25,
IF(H171&lt;50, 6.5,
IF(H171&lt;79, 6.75,
VALUE(SUBSTITUTE(
INDEX(RESUMO!$J$2:$J$100, MATCH(1,
(D171&gt;=RESUMO!$H$2:$H$100)*(D171&lt;=RESUMO!$I$2:$I$100)*(H171&gt;=RESUMO!$K$2:$K$100)*(H171&lt;=RESUMO!$L$2:$L$100),
0)), "R$ ", ""))
))))</f>
        <v>6.25</v>
      </c>
      <c r="K171" s="9">
        <v>0</v>
      </c>
      <c r="L171" s="10">
        <f t="shared" si="41"/>
        <v>9.4010152284263973E-2</v>
      </c>
      <c r="M171" s="7"/>
      <c r="N171" s="48"/>
      <c r="O171" s="78" cm="1">
        <f t="array" ref="O171">IF(M171&lt;12.5, 0,
IF(M171&lt;29, 6.25,
IF(M171&lt;50, 6.5,
IF(M171&lt;79, 6.75,
VALUE(SUBSTITUTE(
INDEX(RESUMO!$J$2:$J$100, MATCH(1,
(D171&gt;=RESUMO!$H$2:$H$100)*(D171&lt;=RESUMO!$I$2:$I$100)*(M171&gt;=RESUMO!$K$2:$K$100)*(M171&lt;=RESUMO!$L$2:$L$100),
0)), "R$ ", ""))
))))</f>
        <v>0</v>
      </c>
      <c r="P171" s="9"/>
      <c r="Q171" s="10" t="e">
        <f t="shared" si="42"/>
        <v>#DIV/0!</v>
      </c>
      <c r="R171" s="5">
        <f t="shared" si="35"/>
        <v>10.352</v>
      </c>
      <c r="S171" s="5">
        <f t="shared" si="36"/>
        <v>1.8520000000000003</v>
      </c>
      <c r="T171" s="5">
        <f t="shared" si="37"/>
        <v>-0.34</v>
      </c>
      <c r="U171" s="5">
        <f t="shared" si="38"/>
        <v>-8.84</v>
      </c>
    </row>
    <row r="172" spans="1:21" x14ac:dyDescent="0.25">
      <c r="A172" s="11" t="s">
        <v>11</v>
      </c>
      <c r="B172" s="6" t="s">
        <v>228</v>
      </c>
      <c r="C172" s="9">
        <v>5.62</v>
      </c>
      <c r="D172" s="6"/>
      <c r="E172" s="8">
        <v>0.04</v>
      </c>
      <c r="F172" s="49">
        <v>0</v>
      </c>
      <c r="G172" s="9">
        <v>2</v>
      </c>
      <c r="H172" s="9">
        <v>14.99</v>
      </c>
      <c r="I172" s="48">
        <v>0.14000000000000001</v>
      </c>
      <c r="J172" s="78" cm="1">
        <f t="array" ref="J172">IF(H172&lt;12.5, H172/2,
IF(H172&lt;29, 6.25,
IF(H172&lt;50, 6.5,
IF(H172&lt;79, 6.75,
VALUE(SUBSTITUTE(
INDEX(RESUMO!$J$2:$J$100, MATCH(1,
(D172&gt;=RESUMO!$H$2:$H$100)*(D172&lt;=RESUMO!$I$2:$I$100)*(H172&gt;=RESUMO!$K$2:$K$100)*(H172&lt;=RESUMO!$L$2:$L$100),
0)), "R$ ", ""))
))))</f>
        <v>6.25</v>
      </c>
      <c r="K172" s="9">
        <v>0</v>
      </c>
      <c r="L172" s="10">
        <f t="shared" si="41"/>
        <v>5.3142094729819921E-2</v>
      </c>
      <c r="M172" s="7"/>
      <c r="N172" s="48"/>
      <c r="O172" s="78" cm="1">
        <f t="array" ref="O172">IF(M172&lt;12.5, 0,
IF(M172&lt;29, 6.25,
IF(M172&lt;50, 6.5,
IF(M172&lt;79, 6.75,
VALUE(SUBSTITUTE(
INDEX(RESUMO!$J$2:$J$100, MATCH(1,
(D172&gt;=RESUMO!$H$2:$H$100)*(D172&lt;=RESUMO!$I$2:$I$100)*(M172&gt;=RESUMO!$K$2:$K$100)*(M172&lt;=RESUMO!$L$2:$L$100),
0)), "R$ ", ""))
))))</f>
        <v>0</v>
      </c>
      <c r="P172" s="9"/>
      <c r="Q172" s="10" t="e">
        <f t="shared" si="42"/>
        <v>#DIV/0!</v>
      </c>
      <c r="R172" s="5">
        <f t="shared" si="35"/>
        <v>6.4166000000000007</v>
      </c>
      <c r="S172" s="5">
        <f t="shared" si="36"/>
        <v>0.79660000000000064</v>
      </c>
      <c r="T172" s="5">
        <f t="shared" si="37"/>
        <v>-0.2248</v>
      </c>
      <c r="U172" s="5">
        <f t="shared" si="38"/>
        <v>-5.8448000000000002</v>
      </c>
    </row>
    <row r="173" spans="1:21" x14ac:dyDescent="0.25">
      <c r="A173" s="11" t="s">
        <v>11</v>
      </c>
      <c r="B173" s="6" t="s">
        <v>229</v>
      </c>
      <c r="C173" s="9">
        <v>9</v>
      </c>
      <c r="D173" s="6"/>
      <c r="E173" s="8">
        <v>0.04</v>
      </c>
      <c r="F173" s="49">
        <v>0</v>
      </c>
      <c r="G173" s="9">
        <v>2</v>
      </c>
      <c r="H173" s="9">
        <v>19.3</v>
      </c>
      <c r="I173" s="48">
        <v>0.14000000000000001</v>
      </c>
      <c r="J173" s="78" cm="1">
        <f t="array" ref="J173">IF(H173&lt;12.5, H173/2,
IF(H173&lt;29, 6.25,
IF(H173&lt;50, 6.5,
IF(H173&lt;79, 6.75,
VALUE(SUBSTITUTE(
INDEX(RESUMO!$J$2:$J$100, MATCH(1,
(D173&gt;=RESUMO!$H$2:$H$100)*(D173&lt;=RESUMO!$I$2:$I$100)*(H173&gt;=RESUMO!$K$2:$K$100)*(H173&lt;=RESUMO!$L$2:$L$100),
0)), "R$ ", ""))
))))</f>
        <v>6.25</v>
      </c>
      <c r="K173" s="9">
        <v>0</v>
      </c>
      <c r="L173" s="10">
        <f t="shared" si="41"/>
        <v>5.1191709844559563E-2</v>
      </c>
      <c r="M173" s="7"/>
      <c r="N173" s="48"/>
      <c r="O173" s="78" cm="1">
        <f t="array" ref="O173">IF(M173&lt;12.5, 0,
IF(M173&lt;29, 6.25,
IF(M173&lt;50, 6.5,
IF(M173&lt;79, 6.75,
VALUE(SUBSTITUTE(
INDEX(RESUMO!$J$2:$J$100, MATCH(1,
(D173&gt;=RESUMO!$H$2:$H$100)*(D173&lt;=RESUMO!$I$2:$I$100)*(M173&gt;=RESUMO!$K$2:$K$100)*(M173&lt;=RESUMO!$L$2:$L$100),
0)), "R$ ", ""))
))))</f>
        <v>0</v>
      </c>
      <c r="P173" s="9"/>
      <c r="Q173" s="10" t="e">
        <f t="shared" si="42"/>
        <v>#DIV/0!</v>
      </c>
      <c r="R173" s="5">
        <f t="shared" si="35"/>
        <v>9.9879999999999995</v>
      </c>
      <c r="S173" s="5">
        <f t="shared" si="36"/>
        <v>0.98799999999999955</v>
      </c>
      <c r="T173" s="5">
        <f t="shared" si="37"/>
        <v>-0.36</v>
      </c>
      <c r="U173" s="5">
        <f t="shared" si="38"/>
        <v>-9.36</v>
      </c>
    </row>
    <row r="174" spans="1:21" x14ac:dyDescent="0.25">
      <c r="A174" s="11" t="s">
        <v>11</v>
      </c>
      <c r="B174" s="6" t="s">
        <v>230</v>
      </c>
      <c r="C174" s="9">
        <v>9</v>
      </c>
      <c r="D174" s="6"/>
      <c r="E174" s="8">
        <v>0.04</v>
      </c>
      <c r="F174" s="49">
        <v>0</v>
      </c>
      <c r="G174" s="9">
        <v>2</v>
      </c>
      <c r="H174" s="9">
        <v>18.2</v>
      </c>
      <c r="I174" s="48">
        <v>0.14000000000000001</v>
      </c>
      <c r="J174" s="78" cm="1">
        <f t="array" ref="J174">IF(H174&lt;12.5, H174/2,
IF(H174&lt;29, 6.25,
IF(H174&lt;50, 6.5,
IF(H174&lt;79, 6.75,
VALUE(SUBSTITUTE(
INDEX(RESUMO!$J$2:$J$100, MATCH(1,
(D174&gt;=RESUMO!$H$2:$H$100)*(D174&lt;=RESUMO!$I$2:$I$100)*(H174&gt;=RESUMO!$K$2:$K$100)*(H174&lt;=RESUMO!$L$2:$L$100),
0)), "R$ ", ""))
))))</f>
        <v>6.25</v>
      </c>
      <c r="K174" s="9">
        <v>0</v>
      </c>
      <c r="L174" s="10">
        <f t="shared" si="41"/>
        <v>2.3076923076922975E-3</v>
      </c>
      <c r="M174" s="7"/>
      <c r="N174" s="48"/>
      <c r="O174" s="78" cm="1">
        <f t="array" ref="O174">IF(M174&lt;12.5, 0,
IF(M174&lt;29, 6.25,
IF(M174&lt;50, 6.5,
IF(M174&lt;79, 6.75,
VALUE(SUBSTITUTE(
INDEX(RESUMO!$J$2:$J$100, MATCH(1,
(D174&gt;=RESUMO!$H$2:$H$100)*(D174&lt;=RESUMO!$I$2:$I$100)*(M174&gt;=RESUMO!$K$2:$K$100)*(M174&lt;=RESUMO!$L$2:$L$100),
0)), "R$ ", ""))
))))</f>
        <v>0</v>
      </c>
      <c r="P174" s="9"/>
      <c r="Q174" s="10" t="e">
        <f t="shared" si="42"/>
        <v>#DIV/0!</v>
      </c>
      <c r="R174" s="5">
        <f t="shared" si="35"/>
        <v>9.0419999999999998</v>
      </c>
      <c r="S174" s="5">
        <f t="shared" si="36"/>
        <v>4.1999999999999815E-2</v>
      </c>
      <c r="T174" s="5">
        <f t="shared" si="37"/>
        <v>-0.36</v>
      </c>
      <c r="U174" s="5">
        <f t="shared" si="38"/>
        <v>-9.36</v>
      </c>
    </row>
    <row r="175" spans="1:21" x14ac:dyDescent="0.25">
      <c r="A175" s="11" t="s">
        <v>11</v>
      </c>
      <c r="B175" s="6" t="s">
        <v>231</v>
      </c>
      <c r="C175" s="9">
        <v>8.15</v>
      </c>
      <c r="D175" s="6"/>
      <c r="E175" s="8">
        <v>0.04</v>
      </c>
      <c r="F175" s="49">
        <v>0</v>
      </c>
      <c r="G175" s="9">
        <v>2</v>
      </c>
      <c r="H175" s="9">
        <v>19.5</v>
      </c>
      <c r="I175" s="48">
        <v>0.14000000000000001</v>
      </c>
      <c r="J175" s="78" cm="1">
        <f t="array" ref="J175">IF(H175&lt;12.5, H175/2,
IF(H175&lt;29, 6.25,
IF(H175&lt;50, 6.5,
IF(H175&lt;79, 6.75,
VALUE(SUBSTITUTE(
INDEX(RESUMO!$J$2:$J$100, MATCH(1,
(D175&gt;=RESUMO!$H$2:$H$100)*(D175&lt;=RESUMO!$I$2:$I$100)*(H175&gt;=RESUMO!$K$2:$K$100)*(H175&lt;=RESUMO!$L$2:$L$100),
0)), "R$ ", ""))
))))</f>
        <v>6.25</v>
      </c>
      <c r="K175" s="9">
        <v>0</v>
      </c>
      <c r="L175" s="10">
        <f t="shared" si="41"/>
        <v>0.10482051282051276</v>
      </c>
      <c r="M175" s="7"/>
      <c r="N175" s="48"/>
      <c r="O175" s="78" cm="1">
        <f t="array" ref="O175">IF(M175&lt;12.5, 0,
IF(M175&lt;29, 6.25,
IF(M175&lt;50, 6.5,
IF(M175&lt;79, 6.75,
VALUE(SUBSTITUTE(
INDEX(RESUMO!$J$2:$J$100, MATCH(1,
(D175&gt;=RESUMO!$H$2:$H$100)*(D175&lt;=RESUMO!$I$2:$I$100)*(M175&gt;=RESUMO!$K$2:$K$100)*(M175&lt;=RESUMO!$L$2:$L$100),
0)), "R$ ", ""))
))))</f>
        <v>0</v>
      </c>
      <c r="P175" s="9"/>
      <c r="Q175" s="10" t="e">
        <f t="shared" si="42"/>
        <v>#DIV/0!</v>
      </c>
      <c r="R175" s="5">
        <f t="shared" si="35"/>
        <v>10.193999999999999</v>
      </c>
      <c r="S175" s="5">
        <f t="shared" si="36"/>
        <v>2.0439999999999987</v>
      </c>
      <c r="T175" s="5">
        <f t="shared" si="37"/>
        <v>-0.32600000000000001</v>
      </c>
      <c r="U175" s="5">
        <f t="shared" si="38"/>
        <v>-8.4760000000000009</v>
      </c>
    </row>
    <row r="176" spans="1:21" x14ac:dyDescent="0.25">
      <c r="A176" s="11" t="s">
        <v>22</v>
      </c>
      <c r="B176" s="6" t="s">
        <v>232</v>
      </c>
      <c r="C176" s="9">
        <v>298.89999999999998</v>
      </c>
      <c r="D176" s="6">
        <v>17</v>
      </c>
      <c r="E176" s="8">
        <v>0.04</v>
      </c>
      <c r="F176" s="49">
        <v>0</v>
      </c>
      <c r="G176" s="9">
        <v>2</v>
      </c>
      <c r="H176" s="9">
        <v>399.9</v>
      </c>
      <c r="I176" s="48">
        <v>0.11</v>
      </c>
      <c r="J176" s="78" cm="1">
        <f t="array" ref="J176">IF(H176&lt;12.5, H176/2,
IF(H176&lt;29, 6.25,
IF(H176&lt;50, 6.5,
IF(H176&lt;79, 6.75,
VALUE(SUBSTITUTE(
INDEX(RESUMO!$J$2:$J$100, MATCH(1,
(D176&gt;=RESUMO!$H$2:$H$100)*(D176&lt;=RESUMO!$I$2:$I$100)*(H176&gt;=RESUMO!$K$2:$K$100)*(H176&lt;=RESUMO!$L$2:$L$100),
0)), "R$ ", ""))
))))</f>
        <v>73.45</v>
      </c>
      <c r="K176" s="9">
        <v>31.99</v>
      </c>
      <c r="L176" s="10">
        <f t="shared" si="41"/>
        <v>8.9897474368592842E-3</v>
      </c>
      <c r="M176" s="7">
        <v>485</v>
      </c>
      <c r="N176" s="48">
        <v>0.16</v>
      </c>
      <c r="O176" s="78" cm="1">
        <f t="array" ref="O176">IF(M176&lt;12.5, 0,
IF(M176&lt;29, 6.25,
IF(M176&lt;50, 6.5,
IF(M176&lt;79, 6.75,
VALUE(SUBSTITUTE(
INDEX(RESUMO!$J$2:$J$100, MATCH(1,
(D176&gt;=RESUMO!$H$2:$H$100)*(D176&lt;=RESUMO!$I$2:$I$100)*(M176&gt;=RESUMO!$K$2:$K$100)*(M176&lt;=RESUMO!$L$2:$L$100),
0)), "R$ ", ""))
))))</f>
        <v>73.45</v>
      </c>
      <c r="P176" s="9">
        <v>0</v>
      </c>
      <c r="Q176" s="10">
        <f t="shared" si="42"/>
        <v>4.7616494845360811E-2</v>
      </c>
      <c r="R176" s="5">
        <f t="shared" si="35"/>
        <v>302.495</v>
      </c>
      <c r="S176" s="5">
        <f t="shared" si="36"/>
        <v>3.5950000000000273</v>
      </c>
      <c r="T176" s="5">
        <f t="shared" si="37"/>
        <v>321.99399999999997</v>
      </c>
      <c r="U176" s="5">
        <f t="shared" si="38"/>
        <v>23.093999999999994</v>
      </c>
    </row>
    <row r="177" spans="1:21" x14ac:dyDescent="0.25">
      <c r="A177" s="11" t="s">
        <v>25</v>
      </c>
      <c r="B177" s="6" t="s">
        <v>233</v>
      </c>
      <c r="C177" s="9">
        <v>210</v>
      </c>
      <c r="D177" s="6"/>
      <c r="E177" s="8">
        <v>0.04</v>
      </c>
      <c r="F177" s="49">
        <v>0</v>
      </c>
      <c r="G177" s="9">
        <v>2</v>
      </c>
      <c r="H177" s="9">
        <v>299</v>
      </c>
      <c r="I177" s="48">
        <v>0.11</v>
      </c>
      <c r="J177" s="78" cm="1">
        <f t="array" ref="J177">IF(H177&lt;12.5, H177/2,
IF(H177&lt;29, 6.25,
IF(H177&lt;50, 6.5,
IF(H177&lt;79, 6.75,
VALUE(SUBSTITUTE(
INDEX(RESUMO!$J$2:$J$100, MATCH(1,
(D177&gt;=RESUMO!$H$2:$H$100)*(D177&lt;=RESUMO!$I$2:$I$100)*(H177&gt;=RESUMO!$K$2:$K$100)*(H177&lt;=RESUMO!$L$2:$L$100),
0)), "R$ ", ""))
))))</f>
        <v>19.95</v>
      </c>
      <c r="K177" s="9">
        <v>15.6</v>
      </c>
      <c r="L177" s="10">
        <f t="shared" si="41"/>
        <v>0.14501672240802679</v>
      </c>
      <c r="M177" s="7">
        <v>349</v>
      </c>
      <c r="N177" s="48">
        <v>0.16</v>
      </c>
      <c r="O177" s="78" cm="1">
        <f t="array" ref="O177">IF(M177&lt;12.5, 0,
IF(M177&lt;29, 6.25,
IF(M177&lt;50, 6.5,
IF(M177&lt;79, 6.75,
VALUE(SUBSTITUTE(
INDEX(RESUMO!$J$2:$J$100, MATCH(1,
(D177&gt;=RESUMO!$H$2:$H$100)*(D177&lt;=RESUMO!$I$2:$I$100)*(M177&gt;=RESUMO!$K$2:$K$100)*(M177&lt;=RESUMO!$L$2:$L$100),
0)), "R$ ", ""))
))))</f>
        <v>19.95</v>
      </c>
      <c r="P177" s="9">
        <v>0</v>
      </c>
      <c r="Q177" s="10">
        <f t="shared" si="42"/>
        <v>0.15704871060171921</v>
      </c>
      <c r="R177" s="5">
        <f t="shared" si="35"/>
        <v>253.36</v>
      </c>
      <c r="S177" s="5">
        <f t="shared" si="36"/>
        <v>43.360000000000014</v>
      </c>
      <c r="T177" s="5">
        <f t="shared" si="37"/>
        <v>264.81</v>
      </c>
      <c r="U177" s="5">
        <f t="shared" si="38"/>
        <v>54.81</v>
      </c>
    </row>
    <row r="178" spans="1:21" x14ac:dyDescent="0.25">
      <c r="A178" s="11" t="s">
        <v>42</v>
      </c>
      <c r="B178" s="6" t="s">
        <v>234</v>
      </c>
      <c r="C178" s="9">
        <v>219.9</v>
      </c>
      <c r="D178" s="6"/>
      <c r="E178" s="8">
        <v>0.04</v>
      </c>
      <c r="F178" s="49">
        <v>0</v>
      </c>
      <c r="G178" s="9"/>
      <c r="H178" s="9">
        <v>449</v>
      </c>
      <c r="I178" s="48">
        <v>0.115</v>
      </c>
      <c r="J178" s="78" cm="1">
        <f t="array" ref="J178">IF(H178&lt;12.5, H178/2,
IF(H178&lt;29, 6.25,
IF(H178&lt;50, 6.5,
IF(H178&lt;79, 6.75,
VALUE(SUBSTITUTE(
INDEX(RESUMO!$J$2:$J$100, MATCH(1,
(D178&gt;=RESUMO!$H$2:$H$100)*(D178&lt;=RESUMO!$I$2:$I$100)*(H178&gt;=RESUMO!$K$2:$K$100)*(H178&lt;=RESUMO!$L$2:$L$100),
0)), "R$ ", ""))
))))</f>
        <v>19.95</v>
      </c>
      <c r="K178" s="9">
        <v>0</v>
      </c>
      <c r="L178" s="10">
        <f t="shared" si="41"/>
        <v>0.33122271714922052</v>
      </c>
      <c r="M178" s="7">
        <v>499</v>
      </c>
      <c r="N178" s="48">
        <v>0.16500000000000001</v>
      </c>
      <c r="O178" s="78" cm="1">
        <f t="array" ref="O178">IF(M178&lt;12.5, 0,
IF(M178&lt;29, 6.25,
IF(M178&lt;50, 6.5,
IF(M178&lt;79, 6.75,
VALUE(SUBSTITUTE(
INDEX(RESUMO!$J$2:$J$100, MATCH(1,
(D178&gt;=RESUMO!$H$2:$H$100)*(D178&lt;=RESUMO!$I$2:$I$100)*(M178&gt;=RESUMO!$K$2:$K$100)*(M178&lt;=RESUMO!$L$2:$L$100),
0)), "R$ ", ""))
))))</f>
        <v>19.95</v>
      </c>
      <c r="P178" s="9">
        <v>0</v>
      </c>
      <c r="Q178" s="10">
        <f t="shared" si="42"/>
        <v>0.33671142284569133</v>
      </c>
      <c r="R178" s="5">
        <f t="shared" si="35"/>
        <v>368.61900000000003</v>
      </c>
      <c r="S178" s="5">
        <f t="shared" si="36"/>
        <v>148.71900000000002</v>
      </c>
      <c r="T178" s="5">
        <f t="shared" si="37"/>
        <v>387.91899999999998</v>
      </c>
      <c r="U178" s="5">
        <f t="shared" si="38"/>
        <v>168.01899999999998</v>
      </c>
    </row>
    <row r="179" spans="1:21" x14ac:dyDescent="0.25">
      <c r="A179" s="11" t="s">
        <v>42</v>
      </c>
      <c r="B179" s="6" t="s">
        <v>235</v>
      </c>
      <c r="C179" s="9"/>
      <c r="D179" s="6"/>
      <c r="E179" s="8"/>
      <c r="F179" s="49"/>
      <c r="G179" s="9"/>
      <c r="H179" s="9"/>
      <c r="I179" s="48"/>
      <c r="J179" s="78" cm="1">
        <f t="array" ref="J179">IF(H179&lt;12.5, H179/2,
IF(H179&lt;29, 6.25,
IF(H179&lt;50, 6.5,
IF(H179&lt;79, 6.75,
VALUE(SUBSTITUTE(
INDEX(RESUMO!$J$2:$J$100, MATCH(1,
(D179&gt;=RESUMO!$H$2:$H$100)*(D179&lt;=RESUMO!$I$2:$I$100)*(H179&gt;=RESUMO!$K$2:$K$100)*(H179&lt;=RESUMO!$L$2:$L$100),
0)), "R$ ", ""))
))))</f>
        <v>0</v>
      </c>
      <c r="K179" s="9"/>
      <c r="L179" s="10" t="e">
        <f t="shared" si="41"/>
        <v>#DIV/0!</v>
      </c>
      <c r="M179" s="7"/>
      <c r="N179" s="48"/>
      <c r="O179" s="78" cm="1">
        <f t="array" ref="O179">IF(M179&lt;12.5, 0,
IF(M179&lt;29, 6.25,
IF(M179&lt;50, 6.5,
IF(M179&lt;79, 6.75,
VALUE(SUBSTITUTE(
INDEX(RESUMO!$J$2:$J$100, MATCH(1,
(D179&gt;=RESUMO!$H$2:$H$100)*(D179&lt;=RESUMO!$I$2:$I$100)*(M179&gt;=RESUMO!$K$2:$K$100)*(M179&lt;=RESUMO!$L$2:$L$100),
0)), "R$ ", ""))
))))</f>
        <v>0</v>
      </c>
      <c r="P179" s="9"/>
      <c r="Q179" s="10" t="e">
        <f t="shared" si="42"/>
        <v>#DIV/0!</v>
      </c>
      <c r="R179" s="5">
        <f t="shared" ref="R179:R241" si="43">(H179-(H179*I179)-J179-(C179*E179)+K179)</f>
        <v>0</v>
      </c>
      <c r="S179" s="5">
        <f t="shared" ref="S179:S241" si="44">R179-(C179-F179)</f>
        <v>0</v>
      </c>
      <c r="T179" s="5">
        <f t="shared" ref="T179:T241" si="45">(M179-(M179*N179)-O179-(C179*E179)+P179)</f>
        <v>0</v>
      </c>
      <c r="U179" s="5">
        <f t="shared" ref="U179:U241" si="46">T179-(C179-F179)</f>
        <v>0</v>
      </c>
    </row>
    <row r="180" spans="1:21" x14ac:dyDescent="0.25">
      <c r="A180" s="11" t="s">
        <v>43</v>
      </c>
      <c r="B180" s="6" t="s">
        <v>236</v>
      </c>
      <c r="C180" s="9"/>
      <c r="D180" s="6"/>
      <c r="E180" s="8"/>
      <c r="F180" s="49"/>
      <c r="G180" s="9"/>
      <c r="H180" s="9"/>
      <c r="I180" s="48"/>
      <c r="J180" s="78" cm="1">
        <f t="array" ref="J180">IF(H180&lt;12.5, H180/2,
IF(H180&lt;29, 6.25,
IF(H180&lt;50, 6.5,
IF(H180&lt;79, 6.75,
VALUE(SUBSTITUTE(
INDEX(RESUMO!$J$2:$J$100, MATCH(1,
(D180&gt;=RESUMO!$H$2:$H$100)*(D180&lt;=RESUMO!$I$2:$I$100)*(H180&gt;=RESUMO!$K$2:$K$100)*(H180&lt;=RESUMO!$L$2:$L$100),
0)), "R$ ", ""))
))))</f>
        <v>0</v>
      </c>
      <c r="K180" s="9"/>
      <c r="L180" s="10" t="e">
        <f t="shared" si="41"/>
        <v>#DIV/0!</v>
      </c>
      <c r="M180" s="7"/>
      <c r="N180" s="48"/>
      <c r="O180" s="78" cm="1">
        <f t="array" ref="O180">IF(M180&lt;12.5, 0,
IF(M180&lt;29, 6.25,
IF(M180&lt;50, 6.5,
IF(M180&lt;79, 6.75,
VALUE(SUBSTITUTE(
INDEX(RESUMO!$J$2:$J$100, MATCH(1,
(D180&gt;=RESUMO!$H$2:$H$100)*(D180&lt;=RESUMO!$I$2:$I$100)*(M180&gt;=RESUMO!$K$2:$K$100)*(M180&lt;=RESUMO!$L$2:$L$100),
0)), "R$ ", ""))
))))</f>
        <v>0</v>
      </c>
      <c r="P180" s="9"/>
      <c r="Q180" s="10" t="e">
        <f t="shared" si="42"/>
        <v>#DIV/0!</v>
      </c>
      <c r="R180" s="5">
        <f t="shared" si="43"/>
        <v>0</v>
      </c>
      <c r="S180" s="5">
        <f t="shared" si="44"/>
        <v>0</v>
      </c>
      <c r="T180" s="5">
        <f t="shared" si="45"/>
        <v>0</v>
      </c>
      <c r="U180" s="5">
        <f t="shared" si="46"/>
        <v>0</v>
      </c>
    </row>
    <row r="181" spans="1:21" x14ac:dyDescent="0.25">
      <c r="A181" s="11" t="s">
        <v>43</v>
      </c>
      <c r="B181" s="6" t="s">
        <v>237</v>
      </c>
      <c r="C181" s="9"/>
      <c r="D181" s="6"/>
      <c r="E181" s="8"/>
      <c r="F181" s="49"/>
      <c r="G181" s="9"/>
      <c r="H181" s="9"/>
      <c r="I181" s="48"/>
      <c r="J181" s="78" cm="1">
        <f t="array" ref="J181">IF(H181&lt;12.5, H181/2,
IF(H181&lt;29, 6.25,
IF(H181&lt;50, 6.5,
IF(H181&lt;79, 6.75,
VALUE(SUBSTITUTE(
INDEX(RESUMO!$J$2:$J$100, MATCH(1,
(D181&gt;=RESUMO!$H$2:$H$100)*(D181&lt;=RESUMO!$I$2:$I$100)*(H181&gt;=RESUMO!$K$2:$K$100)*(H181&lt;=RESUMO!$L$2:$L$100),
0)), "R$ ", ""))
))))</f>
        <v>0</v>
      </c>
      <c r="K181" s="9"/>
      <c r="L181" s="10" t="e">
        <f t="shared" si="41"/>
        <v>#DIV/0!</v>
      </c>
      <c r="M181" s="7"/>
      <c r="N181" s="48"/>
      <c r="O181" s="78" cm="1">
        <f t="array" ref="O181">IF(M181&lt;12.5, 0,
IF(M181&lt;29, 6.25,
IF(M181&lt;50, 6.5,
IF(M181&lt;79, 6.75,
VALUE(SUBSTITUTE(
INDEX(RESUMO!$J$2:$J$100, MATCH(1,
(D181&gt;=RESUMO!$H$2:$H$100)*(D181&lt;=RESUMO!$I$2:$I$100)*(M181&gt;=RESUMO!$K$2:$K$100)*(M181&lt;=RESUMO!$L$2:$L$100),
0)), "R$ ", ""))
))))</f>
        <v>0</v>
      </c>
      <c r="P181" s="9"/>
      <c r="Q181" s="10" t="e">
        <f t="shared" si="42"/>
        <v>#DIV/0!</v>
      </c>
      <c r="R181" s="5">
        <f t="shared" si="43"/>
        <v>0</v>
      </c>
      <c r="S181" s="5">
        <f t="shared" si="44"/>
        <v>0</v>
      </c>
      <c r="T181" s="5">
        <f t="shared" si="45"/>
        <v>0</v>
      </c>
      <c r="U181" s="5">
        <f t="shared" si="46"/>
        <v>0</v>
      </c>
    </row>
    <row r="182" spans="1:21" x14ac:dyDescent="0.25">
      <c r="A182" s="11" t="s">
        <v>43</v>
      </c>
      <c r="B182" s="6" t="s">
        <v>238</v>
      </c>
      <c r="C182" s="9">
        <v>309.89999999999998</v>
      </c>
      <c r="D182" s="6"/>
      <c r="E182" s="8">
        <v>0.04</v>
      </c>
      <c r="F182" s="49">
        <v>0</v>
      </c>
      <c r="G182" s="9"/>
      <c r="H182" s="9">
        <v>599</v>
      </c>
      <c r="I182" s="48">
        <v>0.115</v>
      </c>
      <c r="J182" s="78" cm="1">
        <f t="array" ref="J182">IF(H182&lt;12.5, H182/2,
IF(H182&lt;29, 6.25,
IF(H182&lt;50, 6.5,
IF(H182&lt;79, 6.75,
VALUE(SUBSTITUTE(
INDEX(RESUMO!$J$2:$J$100, MATCH(1,
(D182&gt;=RESUMO!$H$2:$H$100)*(D182&lt;=RESUMO!$I$2:$I$100)*(H182&gt;=RESUMO!$K$2:$K$100)*(H182&lt;=RESUMO!$L$2:$L$100),
0)), "R$ ", ""))
))))</f>
        <v>19.95</v>
      </c>
      <c r="K182" s="9">
        <v>0</v>
      </c>
      <c r="L182" s="10">
        <f t="shared" si="41"/>
        <v>0.31363772954924879</v>
      </c>
      <c r="M182" s="7">
        <v>649</v>
      </c>
      <c r="N182" s="48">
        <v>0.16500000000000001</v>
      </c>
      <c r="O182" s="78" cm="1">
        <f t="array" ref="O182">IF(M182&lt;12.5, 0,
IF(M182&lt;29, 6.25,
IF(M182&lt;50, 6.5,
IF(M182&lt;79, 6.75,
VALUE(SUBSTITUTE(
INDEX(RESUMO!$J$2:$J$100, MATCH(1,
(D182&gt;=RESUMO!$H$2:$H$100)*(D182&lt;=RESUMO!$I$2:$I$100)*(M182&gt;=RESUMO!$K$2:$K$100)*(M182&lt;=RESUMO!$L$2:$L$100),
0)), "R$ ", ""))
))))</f>
        <v>19.95</v>
      </c>
      <c r="P182" s="9">
        <v>0</v>
      </c>
      <c r="Q182" s="10">
        <f t="shared" si="42"/>
        <v>0.30765639445300452</v>
      </c>
      <c r="R182" s="5">
        <f t="shared" si="43"/>
        <v>497.76900000000001</v>
      </c>
      <c r="S182" s="5">
        <f t="shared" si="44"/>
        <v>187.86900000000003</v>
      </c>
      <c r="T182" s="5">
        <f t="shared" si="45"/>
        <v>509.5689999999999</v>
      </c>
      <c r="U182" s="5">
        <f t="shared" si="46"/>
        <v>199.66899999999993</v>
      </c>
    </row>
    <row r="183" spans="1:21" x14ac:dyDescent="0.25">
      <c r="A183" s="11" t="s">
        <v>42</v>
      </c>
      <c r="B183" s="6" t="s">
        <v>239</v>
      </c>
      <c r="C183" s="9">
        <v>109.9</v>
      </c>
      <c r="D183" s="6"/>
      <c r="E183" s="8">
        <v>0.04</v>
      </c>
      <c r="F183" s="49">
        <v>0</v>
      </c>
      <c r="G183" s="9"/>
      <c r="H183" s="9">
        <v>255</v>
      </c>
      <c r="I183" s="48">
        <v>0.115</v>
      </c>
      <c r="J183" s="78" cm="1">
        <f t="array" ref="J183">IF(H183&lt;12.5, H183/2,
IF(H183&lt;29, 6.25,
IF(H183&lt;50, 6.5,
IF(H183&lt;79, 6.75,
VALUE(SUBSTITUTE(
INDEX(RESUMO!$J$2:$J$100, MATCH(1,
(D183&gt;=RESUMO!$H$2:$H$100)*(D183&lt;=RESUMO!$I$2:$I$100)*(H183&gt;=RESUMO!$K$2:$K$100)*(H183&lt;=RESUMO!$L$2:$L$100),
0)), "R$ ", ""))
))))</f>
        <v>19.95</v>
      </c>
      <c r="K183" s="9">
        <v>0</v>
      </c>
      <c r="L183" s="10">
        <f t="shared" si="41"/>
        <v>0.3585450980392158</v>
      </c>
      <c r="M183" s="7">
        <v>280</v>
      </c>
      <c r="N183" s="48">
        <v>0.16500000000000001</v>
      </c>
      <c r="O183" s="78" cm="1">
        <f t="array" ref="O183">IF(M183&lt;12.5, 0,
IF(M183&lt;29, 6.25,
IF(M183&lt;50, 6.5,
IF(M183&lt;79, 6.75,
VALUE(SUBSTITUTE(
INDEX(RESUMO!$J$2:$J$100, MATCH(1,
(D183&gt;=RESUMO!$H$2:$H$100)*(D183&lt;=RESUMO!$I$2:$I$100)*(M183&gt;=RESUMO!$K$2:$K$100)*(M183&lt;=RESUMO!$L$2:$L$100),
0)), "R$ ", ""))
))))</f>
        <v>19.95</v>
      </c>
      <c r="P183" s="9">
        <v>0</v>
      </c>
      <c r="Q183" s="10">
        <f t="shared" si="42"/>
        <v>0.35555000000000009</v>
      </c>
      <c r="R183" s="5">
        <f t="shared" si="43"/>
        <v>201.32900000000004</v>
      </c>
      <c r="S183" s="5">
        <f t="shared" si="44"/>
        <v>91.42900000000003</v>
      </c>
      <c r="T183" s="5">
        <f t="shared" si="45"/>
        <v>209.45400000000004</v>
      </c>
      <c r="U183" s="5">
        <f t="shared" si="46"/>
        <v>99.55400000000003</v>
      </c>
    </row>
    <row r="184" spans="1:21" x14ac:dyDescent="0.25">
      <c r="A184" s="11"/>
      <c r="B184" s="6" t="s">
        <v>240</v>
      </c>
      <c r="C184" s="9"/>
      <c r="D184" s="6"/>
      <c r="E184" s="8"/>
      <c r="F184" s="49"/>
      <c r="G184" s="9"/>
      <c r="H184" s="9"/>
      <c r="I184" s="48"/>
      <c r="J184" s="78" cm="1">
        <f t="array" ref="J184">IF(H184&lt;12.5, H184/2,
IF(H184&lt;29, 6.25,
IF(H184&lt;50, 6.5,
IF(H184&lt;79, 6.75,
VALUE(SUBSTITUTE(
INDEX(RESUMO!$J$2:$J$100, MATCH(1,
(D184&gt;=RESUMO!$H$2:$H$100)*(D184&lt;=RESUMO!$I$2:$I$100)*(H184&gt;=RESUMO!$K$2:$K$100)*(H184&lt;=RESUMO!$L$2:$L$100),
0)), "R$ ", ""))
))))</f>
        <v>0</v>
      </c>
      <c r="K184" s="9"/>
      <c r="L184" s="10" t="e">
        <f t="shared" si="41"/>
        <v>#DIV/0!</v>
      </c>
      <c r="M184" s="7"/>
      <c r="N184" s="48"/>
      <c r="O184" s="78" cm="1">
        <f t="array" ref="O184">IF(M184&lt;12.5, 0,
IF(M184&lt;29, 6.25,
IF(M184&lt;50, 6.5,
IF(M184&lt;79, 6.75,
VALUE(SUBSTITUTE(
INDEX(RESUMO!$J$2:$J$100, MATCH(1,
(D184&gt;=RESUMO!$H$2:$H$100)*(D184&lt;=RESUMO!$I$2:$I$100)*(M184&gt;=RESUMO!$K$2:$K$100)*(M184&lt;=RESUMO!$L$2:$L$100),
0)), "R$ ", ""))
))))</f>
        <v>0</v>
      </c>
      <c r="P184" s="9"/>
      <c r="Q184" s="10" t="e">
        <f t="shared" si="42"/>
        <v>#DIV/0!</v>
      </c>
      <c r="R184" s="5">
        <f t="shared" si="43"/>
        <v>0</v>
      </c>
      <c r="S184" s="5">
        <f t="shared" si="44"/>
        <v>0</v>
      </c>
      <c r="T184" s="5">
        <f t="shared" si="45"/>
        <v>0</v>
      </c>
      <c r="U184" s="5">
        <f t="shared" si="46"/>
        <v>0</v>
      </c>
    </row>
    <row r="185" spans="1:21" x14ac:dyDescent="0.25">
      <c r="A185" s="11" t="s">
        <v>45</v>
      </c>
      <c r="B185" s="6" t="s">
        <v>241</v>
      </c>
      <c r="C185" s="9">
        <v>769.9</v>
      </c>
      <c r="D185" s="6">
        <v>13</v>
      </c>
      <c r="E185" s="8">
        <v>0.04</v>
      </c>
      <c r="F185" s="49">
        <v>0</v>
      </c>
      <c r="G185" s="9">
        <v>2</v>
      </c>
      <c r="H185" s="9">
        <v>1035</v>
      </c>
      <c r="I185" s="48">
        <v>0.11</v>
      </c>
      <c r="J185" s="78" cm="1">
        <f t="array" ref="J185">IF(H185&lt;12.5, H185/2,
IF(H185&lt;29, 6.25,
IF(H185&lt;50, 6.5,
IF(H185&lt;79, 6.75,
VALUE(SUBSTITUTE(
INDEX(RESUMO!$J$2:$J$100, MATCH(1,
(D185&gt;=RESUMO!$H$2:$H$100)*(D185&lt;=RESUMO!$I$2:$I$100)*(H185&gt;=RESUMO!$K$2:$K$100)*(H185&lt;=RESUMO!$L$2:$L$100),
0)), "R$ ", ""))
))))</f>
        <v>65.95</v>
      </c>
      <c r="K185" s="9">
        <v>0</v>
      </c>
      <c r="L185" s="10">
        <f t="shared" si="41"/>
        <v>5.2660869565217303E-2</v>
      </c>
      <c r="M185" s="7">
        <v>1174.9000000000001</v>
      </c>
      <c r="N185" s="48">
        <v>0.16</v>
      </c>
      <c r="O185" s="78" cm="1">
        <f t="array" ref="O185">IF(M185&lt;12.5, 0,
IF(M185&lt;29, 6.25,
IF(M185&lt;50, 6.5,
IF(M185&lt;79, 6.75,
VALUE(SUBSTITUTE(
INDEX(RESUMO!$J$2:$J$100, MATCH(1,
(D185&gt;=RESUMO!$H$2:$H$100)*(D185&lt;=RESUMO!$I$2:$I$100)*(M185&gt;=RESUMO!$K$2:$K$100)*(M185&lt;=RESUMO!$L$2:$L$100),
0)), "R$ ", ""))
))))</f>
        <v>65.95</v>
      </c>
      <c r="P185" s="9">
        <v>0</v>
      </c>
      <c r="Q185" s="10">
        <f t="shared" si="42"/>
        <v>0.10236615882202739</v>
      </c>
      <c r="R185" s="5">
        <f t="shared" si="43"/>
        <v>824.40399999999988</v>
      </c>
      <c r="S185" s="5">
        <f t="shared" si="44"/>
        <v>54.503999999999905</v>
      </c>
      <c r="T185" s="5">
        <f t="shared" si="45"/>
        <v>890.17</v>
      </c>
      <c r="U185" s="5">
        <f t="shared" si="46"/>
        <v>120.26999999999998</v>
      </c>
    </row>
    <row r="186" spans="1:21" x14ac:dyDescent="0.25">
      <c r="A186" s="11" t="s">
        <v>33</v>
      </c>
      <c r="B186" s="6" t="s">
        <v>242</v>
      </c>
      <c r="C186" s="9">
        <v>298.23</v>
      </c>
      <c r="D186" s="6">
        <v>1</v>
      </c>
      <c r="E186" s="8">
        <v>0.04</v>
      </c>
      <c r="F186" s="49">
        <v>0</v>
      </c>
      <c r="G186" s="9">
        <v>2</v>
      </c>
      <c r="H186" s="9">
        <v>426.5</v>
      </c>
      <c r="I186" s="48">
        <v>0.12</v>
      </c>
      <c r="J186" s="78" cm="1">
        <f t="array" ref="J186">IF(H186&lt;12.5, H186/2,
IF(H186&lt;29, 6.25,
IF(H186&lt;50, 6.5,
IF(H186&lt;79, 6.75,
VALUE(SUBSTITUTE(
INDEX(RESUMO!$J$2:$J$100, MATCH(1,
(D186&gt;=RESUMO!$H$2:$H$100)*(D186&lt;=RESUMO!$I$2:$I$100)*(H186&gt;=RESUMO!$K$2:$K$100)*(H186&lt;=RESUMO!$L$2:$L$100),
0)), "R$ ", ""))
))))</f>
        <v>22.45</v>
      </c>
      <c r="K186" s="9">
        <v>0</v>
      </c>
      <c r="L186" s="10">
        <f t="shared" si="41"/>
        <v>0.10014255568581479</v>
      </c>
      <c r="M186" s="7">
        <v>459.9</v>
      </c>
      <c r="N186" s="48">
        <v>0.17</v>
      </c>
      <c r="O186" s="78" cm="1">
        <f t="array" ref="O186">IF(M186&lt;12.5, 0,
IF(M186&lt;29, 6.25,
IF(M186&lt;50, 6.5,
IF(M186&lt;79, 6.75,
VALUE(SUBSTITUTE(
INDEX(RESUMO!$J$2:$J$100, MATCH(1,
(D186&gt;=RESUMO!$H$2:$H$100)*(D186&lt;=RESUMO!$I$2:$I$100)*(M186&gt;=RESUMO!$K$2:$K$100)*(M186&lt;=RESUMO!$L$2:$L$100),
0)), "R$ ", ""))
))))</f>
        <v>22.45</v>
      </c>
      <c r="P186" s="9">
        <v>0</v>
      </c>
      <c r="Q186" s="10">
        <f t="shared" si="42"/>
        <v>0.106779299847793</v>
      </c>
      <c r="R186" s="5">
        <f t="shared" si="43"/>
        <v>340.94080000000002</v>
      </c>
      <c r="S186" s="5">
        <f t="shared" si="44"/>
        <v>42.710800000000006</v>
      </c>
      <c r="T186" s="5">
        <f t="shared" si="45"/>
        <v>347.33780000000002</v>
      </c>
      <c r="U186" s="5">
        <f t="shared" si="46"/>
        <v>49.107799999999997</v>
      </c>
    </row>
    <row r="187" spans="1:21" x14ac:dyDescent="0.25">
      <c r="A187" s="11" t="s">
        <v>33</v>
      </c>
      <c r="B187" s="6" t="s">
        <v>243</v>
      </c>
      <c r="C187" s="9">
        <v>91.4</v>
      </c>
      <c r="D187" s="6">
        <v>2</v>
      </c>
      <c r="E187" s="8">
        <v>0.04</v>
      </c>
      <c r="F187" s="49">
        <v>0</v>
      </c>
      <c r="G187" s="9">
        <v>2</v>
      </c>
      <c r="H187" s="9">
        <v>159.08000000000001</v>
      </c>
      <c r="I187" s="48">
        <v>0.12</v>
      </c>
      <c r="J187" s="78" cm="1">
        <f t="array" ref="J187">IF(H187&lt;12.5, H187/2,
IF(H187&lt;29, 6.25,
IF(H187&lt;50, 6.5,
IF(H187&lt;79, 6.75,
VALUE(SUBSTITUTE(
INDEX(RESUMO!$J$2:$J$100, MATCH(1,
(D187&gt;=RESUMO!$H$2:$H$100)*(D187&lt;=RESUMO!$I$2:$I$100)*(H187&gt;=RESUMO!$K$2:$K$100)*(H187&lt;=RESUMO!$L$2:$L$100),
0)), "R$ ", ""))
))))</f>
        <v>21.1</v>
      </c>
      <c r="K187" s="9">
        <v>0</v>
      </c>
      <c r="L187" s="10">
        <f>S187/H187</f>
        <v>0.14982650238873532</v>
      </c>
      <c r="M187" s="7">
        <v>164</v>
      </c>
      <c r="N187" s="48">
        <v>0.17</v>
      </c>
      <c r="O187" s="78" cm="1">
        <f t="array" ref="O187">IF(M187&lt;12.5, 0,
IF(M187&lt;29, 6.25,
IF(M187&lt;50, 6.5,
IF(M187&lt;79, 6.75,
VALUE(SUBSTITUTE(
INDEX(RESUMO!$J$2:$J$100, MATCH(1,
(D187&gt;=RESUMO!$H$2:$H$100)*(D187&lt;=RESUMO!$I$2:$I$100)*(M187&gt;=RESUMO!$K$2:$K$100)*(M187&lt;=RESUMO!$L$2:$L$100),
0)), "R$ ", ""))
))))</f>
        <v>21.1</v>
      </c>
      <c r="P187" s="9">
        <v>0</v>
      </c>
      <c r="Q187" s="10">
        <f t="shared" si="42"/>
        <v>0.12173170731707317</v>
      </c>
      <c r="R187" s="5">
        <f t="shared" si="43"/>
        <v>115.23440000000002</v>
      </c>
      <c r="S187" s="5">
        <f t="shared" si="44"/>
        <v>23.834400000000016</v>
      </c>
      <c r="T187" s="5">
        <f t="shared" si="45"/>
        <v>111.364</v>
      </c>
      <c r="U187" s="5">
        <f t="shared" si="46"/>
        <v>19.963999999999999</v>
      </c>
    </row>
    <row r="188" spans="1:21" x14ac:dyDescent="0.25">
      <c r="A188" s="11" t="s">
        <v>25</v>
      </c>
      <c r="B188" s="6" t="s">
        <v>244</v>
      </c>
      <c r="C188" s="9">
        <v>293.83999999999997</v>
      </c>
      <c r="D188" s="6">
        <v>2</v>
      </c>
      <c r="E188" s="8">
        <v>0.04</v>
      </c>
      <c r="F188" s="49">
        <v>0</v>
      </c>
      <c r="G188" s="9">
        <v>2</v>
      </c>
      <c r="H188" s="9">
        <v>430</v>
      </c>
      <c r="I188" s="48">
        <v>0.12</v>
      </c>
      <c r="J188" s="78" cm="1">
        <f t="array" ref="J188">IF(H188&lt;12.5, H188/2,
IF(H188&lt;29, 6.25,
IF(H188&lt;50, 6.5,
IF(H188&lt;79, 6.75,
VALUE(SUBSTITUTE(
INDEX(RESUMO!$J$2:$J$100, MATCH(1,
(D188&gt;=RESUMO!$H$2:$H$100)*(D188&lt;=RESUMO!$I$2:$I$100)*(H188&gt;=RESUMO!$K$2:$K$100)*(H188&lt;=RESUMO!$L$2:$L$100),
0)), "R$ ", ""))
))))</f>
        <v>23.45</v>
      </c>
      <c r="K188" s="9">
        <v>0</v>
      </c>
      <c r="L188" s="10">
        <f t="shared" si="41"/>
        <v>0.11478232558139537</v>
      </c>
      <c r="M188" s="7">
        <v>450.9</v>
      </c>
      <c r="N188" s="48">
        <v>0.17</v>
      </c>
      <c r="O188" s="78" cm="1">
        <f t="array" ref="O188">IF(M188&lt;12.5, 0,
IF(M188&lt;29, 6.25,
IF(M188&lt;50, 6.5,
IF(M188&lt;79, 6.75,
VALUE(SUBSTITUTE(
INDEX(RESUMO!$J$2:$J$100, MATCH(1,
(D188&gt;=RESUMO!$H$2:$H$100)*(D188&lt;=RESUMO!$I$2:$I$100)*(M188&gt;=RESUMO!$K$2:$K$100)*(M188&lt;=RESUMO!$L$2:$L$100),
0)), "R$ ", ""))
))))</f>
        <v>23.45</v>
      </c>
      <c r="P188" s="9">
        <v>0</v>
      </c>
      <c r="Q188" s="10">
        <f t="shared" si="42"/>
        <v>0.100251497005988</v>
      </c>
      <c r="R188" s="5">
        <f t="shared" si="43"/>
        <v>343.19639999999998</v>
      </c>
      <c r="S188" s="5">
        <f t="shared" si="44"/>
        <v>49.356400000000008</v>
      </c>
      <c r="T188" s="5">
        <f t="shared" si="45"/>
        <v>339.04339999999996</v>
      </c>
      <c r="U188" s="5">
        <f t="shared" si="46"/>
        <v>45.203399999999988</v>
      </c>
    </row>
    <row r="189" spans="1:21" x14ac:dyDescent="0.25">
      <c r="A189" s="11" t="s">
        <v>25</v>
      </c>
      <c r="B189" s="6" t="s">
        <v>245</v>
      </c>
      <c r="C189" s="9">
        <v>108.58</v>
      </c>
      <c r="D189" s="6">
        <v>2</v>
      </c>
      <c r="E189" s="8">
        <v>0.04</v>
      </c>
      <c r="F189" s="49">
        <v>0</v>
      </c>
      <c r="G189" s="9">
        <v>2</v>
      </c>
      <c r="H189" s="9">
        <v>189</v>
      </c>
      <c r="I189" s="48">
        <v>0.12</v>
      </c>
      <c r="J189" s="78" cm="1">
        <f t="array" ref="J189">IF(H189&lt;12.5, H189/2,
IF(H189&lt;29, 6.25,
IF(H189&lt;50, 6.5,
IF(H189&lt;79, 6.75,
VALUE(SUBSTITUTE(
INDEX(RESUMO!$J$2:$J$100, MATCH(1,
(D189&gt;=RESUMO!$H$2:$H$100)*(D189&lt;=RESUMO!$I$2:$I$100)*(H189&gt;=RESUMO!$K$2:$K$100)*(H189&lt;=RESUMO!$L$2:$L$100),
0)), "R$ ", ""))
))))</f>
        <v>21.1</v>
      </c>
      <c r="K189" s="9">
        <v>0</v>
      </c>
      <c r="L189" s="10">
        <f t="shared" si="41"/>
        <v>0.17088253968253972</v>
      </c>
      <c r="M189" s="7">
        <v>309</v>
      </c>
      <c r="N189" s="48">
        <v>0.17</v>
      </c>
      <c r="O189" s="78" cm="1">
        <f t="array" ref="O189">IF(M189&lt;12.5, 0,
IF(M189&lt;29, 6.25,
IF(M189&lt;50, 6.5,
IF(M189&lt;79, 6.75,
VALUE(SUBSTITUTE(
INDEX(RESUMO!$J$2:$J$100, MATCH(1,
(D189&gt;=RESUMO!$H$2:$H$100)*(D189&lt;=RESUMO!$I$2:$I$100)*(M189&gt;=RESUMO!$K$2:$K$100)*(M189&lt;=RESUMO!$L$2:$L$100),
0)), "R$ ", ""))
))))</f>
        <v>23.45</v>
      </c>
      <c r="P189" s="9">
        <v>0</v>
      </c>
      <c r="Q189" s="10">
        <f t="shared" si="42"/>
        <v>0.3886627831715212</v>
      </c>
      <c r="R189" s="5">
        <f t="shared" si="43"/>
        <v>140.8768</v>
      </c>
      <c r="S189" s="5">
        <f t="shared" si="44"/>
        <v>32.296800000000005</v>
      </c>
      <c r="T189" s="5">
        <f t="shared" si="45"/>
        <v>228.67680000000004</v>
      </c>
      <c r="U189" s="5">
        <f t="shared" si="46"/>
        <v>120.09680000000004</v>
      </c>
    </row>
    <row r="190" spans="1:21" x14ac:dyDescent="0.25">
      <c r="A190" s="11" t="s">
        <v>25</v>
      </c>
      <c r="B190" s="6" t="s">
        <v>246</v>
      </c>
      <c r="C190" s="9">
        <v>88.07</v>
      </c>
      <c r="D190" s="6">
        <v>2</v>
      </c>
      <c r="E190" s="8">
        <v>0.04</v>
      </c>
      <c r="F190" s="49">
        <v>0</v>
      </c>
      <c r="G190" s="9">
        <v>2</v>
      </c>
      <c r="H190" s="9">
        <v>204</v>
      </c>
      <c r="I190" s="48">
        <v>0.12</v>
      </c>
      <c r="J190" s="78" cm="1">
        <f t="array" ref="J190">IF(H190&lt;12.5, H190/2,
IF(H190&lt;29, 6.25,
IF(H190&lt;50, 6.5,
IF(H190&lt;79, 6.75,
VALUE(SUBSTITUTE(
INDEX(RESUMO!$J$2:$J$100, MATCH(1,
(D190&gt;=RESUMO!$H$2:$H$100)*(D190&lt;=RESUMO!$I$2:$I$100)*(H190&gt;=RESUMO!$K$2:$K$100)*(H190&lt;=RESUMO!$L$2:$L$100),
0)), "R$ ", ""))
))))</f>
        <v>23.45</v>
      </c>
      <c r="K190" s="9">
        <v>0</v>
      </c>
      <c r="L190" s="10">
        <f t="shared" si="41"/>
        <v>0.31606470588235314</v>
      </c>
      <c r="M190" s="7">
        <v>208</v>
      </c>
      <c r="N190" s="48">
        <v>0.17</v>
      </c>
      <c r="O190" s="78" cm="1">
        <f t="array" ref="O190">IF(M190&lt;12.5, 0,
IF(M190&lt;29, 6.25,
IF(M190&lt;50, 6.5,
IF(M190&lt;79, 6.75,
VALUE(SUBSTITUTE(
INDEX(RESUMO!$J$2:$J$100, MATCH(1,
(D190&gt;=RESUMO!$H$2:$H$100)*(D190&lt;=RESUMO!$I$2:$I$100)*(M190&gt;=RESUMO!$K$2:$K$100)*(M190&lt;=RESUMO!$L$2:$L$100),
0)), "R$ ", ""))
))))</f>
        <v>23.45</v>
      </c>
      <c r="P190" s="9">
        <v>0</v>
      </c>
      <c r="Q190" s="10">
        <f t="shared" si="42"/>
        <v>0.27690961538461545</v>
      </c>
      <c r="R190" s="5">
        <f t="shared" si="43"/>
        <v>152.54720000000003</v>
      </c>
      <c r="S190" s="5">
        <f t="shared" si="44"/>
        <v>64.477200000000039</v>
      </c>
      <c r="T190" s="5">
        <f t="shared" si="45"/>
        <v>145.66720000000001</v>
      </c>
      <c r="U190" s="5">
        <f t="shared" si="46"/>
        <v>57.597200000000015</v>
      </c>
    </row>
    <row r="191" spans="1:21" x14ac:dyDescent="0.25">
      <c r="A191" s="11" t="s">
        <v>33</v>
      </c>
      <c r="B191" s="6" t="s">
        <v>247</v>
      </c>
      <c r="C191" s="9">
        <v>92.19</v>
      </c>
      <c r="D191" s="6">
        <v>1</v>
      </c>
      <c r="E191" s="8">
        <v>0.04</v>
      </c>
      <c r="F191" s="49">
        <v>0</v>
      </c>
      <c r="G191" s="9">
        <v>2</v>
      </c>
      <c r="H191" s="9">
        <v>159.08000000000001</v>
      </c>
      <c r="I191" s="48">
        <v>0.12</v>
      </c>
      <c r="J191" s="78" cm="1">
        <f t="array" ref="J191">IF(H191&lt;12.5, H191/2,
IF(H191&lt;29, 6.25,
IF(H191&lt;50, 6.5,
IF(H191&lt;79, 6.75,
VALUE(SUBSTITUTE(
INDEX(RESUMO!$J$2:$J$100, MATCH(1,
(D191&gt;=RESUMO!$H$2:$H$100)*(D191&lt;=RESUMO!$I$2:$I$100)*(H191&gt;=RESUMO!$K$2:$K$100)*(H191&lt;=RESUMO!$L$2:$L$100),
0)), "R$ ", ""))
))))</f>
        <v>20.2</v>
      </c>
      <c r="K191" s="9">
        <v>0</v>
      </c>
      <c r="L191" s="10">
        <f t="shared" si="41"/>
        <v>0.15031933618305265</v>
      </c>
      <c r="M191" s="7">
        <v>164</v>
      </c>
      <c r="N191" s="48">
        <v>0.17</v>
      </c>
      <c r="O191" s="78" cm="1">
        <f t="array" ref="O191">IF(M191&lt;12.5, 0,
IF(M191&lt;29, 6.25,
IF(M191&lt;50, 6.5,
IF(M191&lt;79, 6.75,
VALUE(SUBSTITUTE(
INDEX(RESUMO!$J$2:$J$100, MATCH(1,
(D191&gt;=RESUMO!$H$2:$H$100)*(D191&lt;=RESUMO!$I$2:$I$100)*(M191&gt;=RESUMO!$K$2:$K$100)*(M191&lt;=RESUMO!$L$2:$L$100),
0)), "R$ ", ""))
))))</f>
        <v>20.2</v>
      </c>
      <c r="P191" s="9">
        <v>0</v>
      </c>
      <c r="Q191" s="10">
        <f t="shared" si="42"/>
        <v>0.12220975609756098</v>
      </c>
      <c r="R191" s="5">
        <f t="shared" si="43"/>
        <v>116.10280000000002</v>
      </c>
      <c r="S191" s="5">
        <f t="shared" si="44"/>
        <v>23.912800000000018</v>
      </c>
      <c r="T191" s="5">
        <f t="shared" si="45"/>
        <v>112.2324</v>
      </c>
      <c r="U191" s="5">
        <f t="shared" si="46"/>
        <v>20.042400000000001</v>
      </c>
    </row>
    <row r="192" spans="1:21" x14ac:dyDescent="0.25">
      <c r="A192" s="11" t="s">
        <v>25</v>
      </c>
      <c r="B192" s="6" t="s">
        <v>248</v>
      </c>
      <c r="C192" s="9">
        <v>88.07</v>
      </c>
      <c r="D192" s="6">
        <v>2</v>
      </c>
      <c r="E192" s="8">
        <v>0.04</v>
      </c>
      <c r="F192" s="49">
        <v>0</v>
      </c>
      <c r="G192" s="9">
        <v>2</v>
      </c>
      <c r="H192" s="9">
        <v>149</v>
      </c>
      <c r="I192" s="48">
        <v>0.12</v>
      </c>
      <c r="J192" s="78" cm="1">
        <f t="array" ref="J192">IF(H192&lt;12.5, H192/2,
IF(H192&lt;29, 6.25,
IF(H192&lt;50, 6.5,
IF(H192&lt;79, 6.75,
VALUE(SUBSTITUTE(
INDEX(RESUMO!$J$2:$J$100, MATCH(1,
(D192&gt;=RESUMO!$H$2:$H$100)*(D192&lt;=RESUMO!$I$2:$I$100)*(H192&gt;=RESUMO!$K$2:$K$100)*(H192&lt;=RESUMO!$L$2:$L$100),
0)), "R$ ", ""))
))))</f>
        <v>18.760000000000002</v>
      </c>
      <c r="K192" s="9">
        <v>0</v>
      </c>
      <c r="L192" s="10">
        <f t="shared" si="41"/>
        <v>0.1393771812080537</v>
      </c>
      <c r="M192" s="7">
        <v>156.9</v>
      </c>
      <c r="N192" s="48">
        <v>0.17</v>
      </c>
      <c r="O192" s="78" cm="1">
        <f t="array" ref="O192">IF(M192&lt;12.5, 0,
IF(M192&lt;29, 6.25,
IF(M192&lt;50, 6.5,
IF(M192&lt;79, 6.75,
VALUE(SUBSTITUTE(
INDEX(RESUMO!$J$2:$J$100, MATCH(1,
(D192&gt;=RESUMO!$H$2:$H$100)*(D192&lt;=RESUMO!$I$2:$I$100)*(M192&gt;=RESUMO!$K$2:$K$100)*(M192&lt;=RESUMO!$L$2:$L$100),
0)), "R$ ", ""))
))))</f>
        <v>21.1</v>
      </c>
      <c r="P192" s="9">
        <v>0</v>
      </c>
      <c r="Q192" s="10">
        <f t="shared" si="42"/>
        <v>0.11175398342893571</v>
      </c>
      <c r="R192" s="5">
        <f t="shared" si="43"/>
        <v>108.8372</v>
      </c>
      <c r="S192" s="5">
        <f t="shared" si="44"/>
        <v>20.767200000000003</v>
      </c>
      <c r="T192" s="5">
        <f t="shared" si="45"/>
        <v>105.60420000000001</v>
      </c>
      <c r="U192" s="5">
        <f t="shared" si="46"/>
        <v>17.534200000000013</v>
      </c>
    </row>
    <row r="193" spans="1:21" x14ac:dyDescent="0.25">
      <c r="A193" s="11" t="s">
        <v>33</v>
      </c>
      <c r="B193" s="6" t="s">
        <v>249</v>
      </c>
      <c r="C193" s="9">
        <v>298.23</v>
      </c>
      <c r="D193" s="6">
        <v>1</v>
      </c>
      <c r="E193" s="8">
        <v>0.04</v>
      </c>
      <c r="F193" s="49">
        <v>0</v>
      </c>
      <c r="G193" s="9">
        <v>2</v>
      </c>
      <c r="H193" s="9">
        <v>430</v>
      </c>
      <c r="I193" s="48">
        <v>0.12</v>
      </c>
      <c r="J193" s="78" cm="1">
        <f t="array" ref="J193">IF(H193&lt;12.5, H193/2,
IF(H193&lt;29, 6.25,
IF(H193&lt;50, 6.5,
IF(H193&lt;79, 6.75,
VALUE(SUBSTITUTE(
INDEX(RESUMO!$J$2:$J$100, MATCH(1,
(D193&gt;=RESUMO!$H$2:$H$100)*(D193&lt;=RESUMO!$I$2:$I$100)*(H193&gt;=RESUMO!$K$2:$K$100)*(H193&lt;=RESUMO!$L$2:$L$100),
0)), "R$ ", ""))
))))</f>
        <v>22.45</v>
      </c>
      <c r="K193" s="9">
        <v>0</v>
      </c>
      <c r="L193" s="10">
        <f t="shared" si="41"/>
        <v>0.10649023255813951</v>
      </c>
      <c r="M193" s="7">
        <v>460</v>
      </c>
      <c r="N193" s="48">
        <v>0.17</v>
      </c>
      <c r="O193" s="78" cm="1">
        <f t="array" ref="O193">IF(M193&lt;12.5, 0,
IF(M193&lt;29, 6.25,
IF(M193&lt;50, 6.5,
IF(M193&lt;79, 6.75,
VALUE(SUBSTITUTE(
INDEX(RESUMO!$J$2:$J$100, MATCH(1,
(D193&gt;=RESUMO!$H$2:$H$100)*(D193&lt;=RESUMO!$I$2:$I$100)*(M193&gt;=RESUMO!$K$2:$K$100)*(M193&lt;=RESUMO!$L$2:$L$100),
0)), "R$ ", ""))
))))</f>
        <v>22.45</v>
      </c>
      <c r="P193" s="9">
        <v>0</v>
      </c>
      <c r="Q193" s="10">
        <f t="shared" si="42"/>
        <v>0.10693652173913049</v>
      </c>
      <c r="R193" s="5">
        <f t="shared" si="43"/>
        <v>344.02080000000001</v>
      </c>
      <c r="S193" s="5">
        <f t="shared" si="44"/>
        <v>45.79079999999999</v>
      </c>
      <c r="T193" s="5">
        <f t="shared" si="45"/>
        <v>347.42080000000004</v>
      </c>
      <c r="U193" s="5">
        <f t="shared" si="46"/>
        <v>49.190800000000024</v>
      </c>
    </row>
    <row r="194" spans="1:21" x14ac:dyDescent="0.25">
      <c r="A194" s="11" t="s">
        <v>33</v>
      </c>
      <c r="B194" s="6" t="s">
        <v>250</v>
      </c>
      <c r="C194" s="9">
        <v>131.57</v>
      </c>
      <c r="D194" s="6">
        <v>2</v>
      </c>
      <c r="E194" s="8">
        <v>0.04</v>
      </c>
      <c r="F194" s="49">
        <v>0</v>
      </c>
      <c r="G194" s="9">
        <v>2</v>
      </c>
      <c r="H194" s="9">
        <v>221</v>
      </c>
      <c r="I194" s="48">
        <v>0.12</v>
      </c>
      <c r="J194" s="78" cm="1">
        <f t="array" ref="J194">IF(H194&lt;12.5, H194/2,
IF(H194&lt;29, 6.25,
IF(H194&lt;50, 6.5,
IF(H194&lt;79, 6.75,
VALUE(SUBSTITUTE(
INDEX(RESUMO!$J$2:$J$100, MATCH(1,
(D194&gt;=RESUMO!$H$2:$H$100)*(D194&lt;=RESUMO!$I$2:$I$100)*(H194&gt;=RESUMO!$K$2:$K$100)*(H194&lt;=RESUMO!$L$2:$L$100),
0)), "R$ ", ""))
))))</f>
        <v>23.45</v>
      </c>
      <c r="K194" s="9">
        <v>0</v>
      </c>
      <c r="L194" s="10">
        <f t="shared" si="41"/>
        <v>0.15473846153846157</v>
      </c>
      <c r="M194" s="7">
        <v>227</v>
      </c>
      <c r="N194" s="48">
        <v>0.17</v>
      </c>
      <c r="O194" s="78" cm="1">
        <f t="array" ref="O194">IF(M194&lt;12.5, 0,
IF(M194&lt;29, 6.25,
IF(M194&lt;50, 6.5,
IF(M194&lt;79, 6.75,
VALUE(SUBSTITUTE(
INDEX(RESUMO!$J$2:$J$100, MATCH(1,
(D194&gt;=RESUMO!$H$2:$H$100)*(D194&lt;=RESUMO!$I$2:$I$100)*(M194&gt;=RESUMO!$K$2:$K$100)*(M194&lt;=RESUMO!$L$2:$L$100),
0)), "R$ ", ""))
))))</f>
        <v>23.45</v>
      </c>
      <c r="P194" s="9">
        <v>0</v>
      </c>
      <c r="Q194" s="10">
        <f t="shared" si="42"/>
        <v>0.12390837004405293</v>
      </c>
      <c r="R194" s="5">
        <f t="shared" si="43"/>
        <v>165.7672</v>
      </c>
      <c r="S194" s="5">
        <f t="shared" si="44"/>
        <v>34.197200000000009</v>
      </c>
      <c r="T194" s="5">
        <f t="shared" si="45"/>
        <v>159.69720000000001</v>
      </c>
      <c r="U194" s="5">
        <f t="shared" si="46"/>
        <v>28.127200000000016</v>
      </c>
    </row>
    <row r="195" spans="1:21" x14ac:dyDescent="0.25">
      <c r="A195" s="11" t="s">
        <v>33</v>
      </c>
      <c r="B195" s="6" t="s">
        <v>251</v>
      </c>
      <c r="C195" s="9">
        <v>52.89</v>
      </c>
      <c r="D195" s="6">
        <v>1</v>
      </c>
      <c r="E195" s="8">
        <v>0.04</v>
      </c>
      <c r="F195" s="49">
        <v>0</v>
      </c>
      <c r="G195" s="9">
        <v>2</v>
      </c>
      <c r="H195" s="9">
        <v>97</v>
      </c>
      <c r="I195" s="48">
        <v>0.12</v>
      </c>
      <c r="J195" s="78" cm="1">
        <f t="array" ref="J195">IF(H195&lt;12.5, H195/2,
IF(H195&lt;29, 6.25,
IF(H195&lt;50, 6.5,
IF(H195&lt;79, 6.75,
VALUE(SUBSTITUTE(
INDEX(RESUMO!$J$2:$J$100, MATCH(1,
(D195&gt;=RESUMO!$H$2:$H$100)*(D195&lt;=RESUMO!$I$2:$I$100)*(H195&gt;=RESUMO!$K$2:$K$100)*(H195&lt;=RESUMO!$L$2:$L$100),
0)), "R$ ", ""))
))))</f>
        <v>13.47</v>
      </c>
      <c r="K195" s="9">
        <v>0</v>
      </c>
      <c r="L195" s="10">
        <f t="shared" si="41"/>
        <v>0.1740659793814433</v>
      </c>
      <c r="M195" s="7">
        <v>103.9</v>
      </c>
      <c r="N195" s="48">
        <v>0.17</v>
      </c>
      <c r="O195" s="78" cm="1">
        <f t="array" ref="O195">IF(M195&lt;12.5, 0,
IF(M195&lt;29, 6.25,
IF(M195&lt;50, 6.5,
IF(M195&lt;79, 6.75,
VALUE(SUBSTITUTE(
INDEX(RESUMO!$J$2:$J$100, MATCH(1,
(D195&gt;=RESUMO!$H$2:$H$100)*(D195&lt;=RESUMO!$I$2:$I$100)*(M195&gt;=RESUMO!$K$2:$K$100)*(M195&lt;=RESUMO!$L$2:$L$100),
0)), "R$ ", ""))
))))</f>
        <v>15.71</v>
      </c>
      <c r="P195" s="9">
        <v>0</v>
      </c>
      <c r="Q195" s="10">
        <f t="shared" si="42"/>
        <v>0.14938787295476405</v>
      </c>
      <c r="R195" s="5">
        <f t="shared" si="43"/>
        <v>69.7744</v>
      </c>
      <c r="S195" s="5">
        <f t="shared" si="44"/>
        <v>16.884399999999999</v>
      </c>
      <c r="T195" s="5">
        <f t="shared" si="45"/>
        <v>68.411399999999986</v>
      </c>
      <c r="U195" s="5">
        <f t="shared" si="46"/>
        <v>15.521399999999986</v>
      </c>
    </row>
    <row r="196" spans="1:21" x14ac:dyDescent="0.25">
      <c r="A196" s="11" t="s">
        <v>25</v>
      </c>
      <c r="B196" s="6" t="s">
        <v>252</v>
      </c>
      <c r="C196" s="9">
        <v>108.59</v>
      </c>
      <c r="D196" s="6">
        <v>2</v>
      </c>
      <c r="E196" s="8">
        <v>0.04</v>
      </c>
      <c r="F196" s="49">
        <v>0</v>
      </c>
      <c r="G196" s="9">
        <v>2</v>
      </c>
      <c r="H196" s="9">
        <v>179</v>
      </c>
      <c r="I196" s="48">
        <v>0.12</v>
      </c>
      <c r="J196" s="78" cm="1">
        <f t="array" ref="J196">IF(H196&lt;12.5, H196/2,
IF(H196&lt;29, 6.25,
IF(H196&lt;50, 6.5,
IF(H196&lt;79, 6.75,
VALUE(SUBSTITUTE(
INDEX(RESUMO!$J$2:$J$100, MATCH(1,
(D196&gt;=RESUMO!$H$2:$H$100)*(D196&lt;=RESUMO!$I$2:$I$100)*(H196&gt;=RESUMO!$K$2:$K$100)*(H196&lt;=RESUMO!$L$2:$L$100),
0)), "R$ ", ""))
))))</f>
        <v>21.1</v>
      </c>
      <c r="K196" s="9">
        <v>0</v>
      </c>
      <c r="L196" s="10">
        <f t="shared" si="41"/>
        <v>0.13120893854748605</v>
      </c>
      <c r="M196" s="7">
        <v>189</v>
      </c>
      <c r="N196" s="48">
        <v>0.17</v>
      </c>
      <c r="O196" s="78" cm="1">
        <f t="array" ref="O196">IF(M196&lt;12.5, 0,
IF(M196&lt;29, 6.25,
IF(M196&lt;50, 6.5,
IF(M196&lt;79, 6.75,
VALUE(SUBSTITUTE(
INDEX(RESUMO!$J$2:$J$100, MATCH(1,
(D196&gt;=RESUMO!$H$2:$H$100)*(D196&lt;=RESUMO!$I$2:$I$100)*(M196&gt;=RESUMO!$K$2:$K$100)*(M196&lt;=RESUMO!$L$2:$L$100),
0)), "R$ ", ""))
))))</f>
        <v>21.1</v>
      </c>
      <c r="P196" s="9">
        <v>0</v>
      </c>
      <c r="Q196" s="10">
        <f t="shared" si="42"/>
        <v>0.12082751322751321</v>
      </c>
      <c r="R196" s="5">
        <f t="shared" si="43"/>
        <v>132.07640000000001</v>
      </c>
      <c r="S196" s="5">
        <f t="shared" si="44"/>
        <v>23.486400000000003</v>
      </c>
      <c r="T196" s="5">
        <f t="shared" si="45"/>
        <v>131.4264</v>
      </c>
      <c r="U196" s="5">
        <f t="shared" si="46"/>
        <v>22.836399999999998</v>
      </c>
    </row>
    <row r="197" spans="1:21" x14ac:dyDescent="0.25">
      <c r="A197" s="11" t="s">
        <v>33</v>
      </c>
      <c r="B197" s="6" t="s">
        <v>253</v>
      </c>
      <c r="C197" s="9">
        <v>81.83</v>
      </c>
      <c r="D197" s="6">
        <v>2</v>
      </c>
      <c r="E197" s="8">
        <v>0.04</v>
      </c>
      <c r="F197" s="49">
        <v>0</v>
      </c>
      <c r="G197" s="9">
        <v>2</v>
      </c>
      <c r="H197" s="9">
        <v>154</v>
      </c>
      <c r="I197" s="48">
        <v>0.12</v>
      </c>
      <c r="J197" s="78" cm="1">
        <f t="array" ref="J197">IF(H197&lt;12.5, H197/2,
IF(H197&lt;29, 6.25,
IF(H197&lt;50, 6.5,
IF(H197&lt;79, 6.75,
VALUE(SUBSTITUTE(
INDEX(RESUMO!$J$2:$J$100, MATCH(1,
(D197&gt;=RESUMO!$H$2:$H$100)*(D197&lt;=RESUMO!$I$2:$I$100)*(H197&gt;=RESUMO!$K$2:$K$100)*(H197&lt;=RESUMO!$L$2:$L$100),
0)), "R$ ", ""))
))))</f>
        <v>21.1</v>
      </c>
      <c r="K197" s="9">
        <v>0</v>
      </c>
      <c r="L197" s="10">
        <f>S197/H197</f>
        <v>0.19036883116883127</v>
      </c>
      <c r="M197" s="7">
        <v>147</v>
      </c>
      <c r="N197" s="48">
        <v>0.17</v>
      </c>
      <c r="O197" s="78" cm="1">
        <f t="array" ref="O197">IF(M197&lt;12.5, 0,
IF(M197&lt;29, 6.25,
IF(M197&lt;50, 6.5,
IF(M197&lt;79, 6.75,
VALUE(SUBSTITUTE(
INDEX(RESUMO!$J$2:$J$100, MATCH(1,
(D197&gt;=RESUMO!$H$2:$H$100)*(D197&lt;=RESUMO!$I$2:$I$100)*(M197&gt;=RESUMO!$K$2:$K$100)*(M197&lt;=RESUMO!$L$2:$L$100),
0)), "R$ ", ""))
))))</f>
        <v>18.760000000000002</v>
      </c>
      <c r="P197" s="9">
        <v>0</v>
      </c>
      <c r="Q197" s="10">
        <f t="shared" si="42"/>
        <v>0.12344761904761894</v>
      </c>
      <c r="R197" s="5">
        <f t="shared" si="43"/>
        <v>111.14680000000001</v>
      </c>
      <c r="S197" s="5">
        <f t="shared" si="44"/>
        <v>29.316800000000015</v>
      </c>
      <c r="T197" s="5">
        <f t="shared" si="45"/>
        <v>99.976799999999983</v>
      </c>
      <c r="U197" s="5">
        <f t="shared" si="46"/>
        <v>18.146799999999985</v>
      </c>
    </row>
    <row r="198" spans="1:21" x14ac:dyDescent="0.25">
      <c r="A198" s="11" t="s">
        <v>33</v>
      </c>
      <c r="B198" s="6" t="s">
        <v>254</v>
      </c>
      <c r="C198" s="9">
        <v>81.84</v>
      </c>
      <c r="D198" s="6">
        <v>2</v>
      </c>
      <c r="E198" s="8">
        <v>0.04</v>
      </c>
      <c r="F198" s="49">
        <v>0</v>
      </c>
      <c r="G198" s="9">
        <v>2</v>
      </c>
      <c r="H198" s="9">
        <v>159</v>
      </c>
      <c r="I198" s="48">
        <v>0.12</v>
      </c>
      <c r="J198" s="78" cm="1">
        <f t="array" ref="J198">IF(H198&lt;12.5, H198/2,
IF(H198&lt;29, 6.25,
IF(H198&lt;50, 6.5,
IF(H198&lt;79, 6.75,
VALUE(SUBSTITUTE(
INDEX(RESUMO!$J$2:$J$100, MATCH(1,
(D198&gt;=RESUMO!$H$2:$H$100)*(D198&lt;=RESUMO!$I$2:$I$100)*(H198&gt;=RESUMO!$K$2:$K$100)*(H198&lt;=RESUMO!$L$2:$L$100),
0)), "R$ ", ""))
))))</f>
        <v>21.1</v>
      </c>
      <c r="K198" s="9">
        <v>0</v>
      </c>
      <c r="L198" s="10">
        <f t="shared" si="41"/>
        <v>0.21198993710691835</v>
      </c>
      <c r="M198" s="7">
        <v>179</v>
      </c>
      <c r="N198" s="48">
        <v>0.17</v>
      </c>
      <c r="O198" s="78" cm="1">
        <f t="array" ref="O198">IF(M198&lt;12.5, 0,
IF(M198&lt;29, 6.25,
IF(M198&lt;50, 6.5,
IF(M198&lt;79, 6.75,
VALUE(SUBSTITUTE(
INDEX(RESUMO!$J$2:$J$100, MATCH(1,
(D198&gt;=RESUMO!$H$2:$H$100)*(D198&lt;=RESUMO!$I$2:$I$100)*(M198&gt;=RESUMO!$K$2:$K$100)*(M198&lt;=RESUMO!$L$2:$L$100),
0)), "R$ ", ""))
))))</f>
        <v>21.1</v>
      </c>
      <c r="P198" s="9">
        <v>0</v>
      </c>
      <c r="Q198" s="10">
        <f t="shared" si="42"/>
        <v>0.23662793296089382</v>
      </c>
      <c r="R198" s="5">
        <f t="shared" si="43"/>
        <v>115.54640000000002</v>
      </c>
      <c r="S198" s="5">
        <f t="shared" si="44"/>
        <v>33.706400000000016</v>
      </c>
      <c r="T198" s="5">
        <f t="shared" si="45"/>
        <v>124.1964</v>
      </c>
      <c r="U198" s="5">
        <f t="shared" si="46"/>
        <v>42.356399999999994</v>
      </c>
    </row>
    <row r="199" spans="1:21" x14ac:dyDescent="0.25">
      <c r="A199" s="11" t="s">
        <v>33</v>
      </c>
      <c r="B199" s="6" t="s">
        <v>255</v>
      </c>
      <c r="C199" s="9">
        <v>81.84</v>
      </c>
      <c r="D199" s="6">
        <v>2</v>
      </c>
      <c r="E199" s="8">
        <v>0.04</v>
      </c>
      <c r="F199" s="49">
        <v>0</v>
      </c>
      <c r="G199" s="9">
        <v>2</v>
      </c>
      <c r="H199" s="9">
        <v>133.9</v>
      </c>
      <c r="I199" s="48">
        <v>0.12</v>
      </c>
      <c r="J199" s="78" cm="1">
        <f t="array" ref="J199">IF(H199&lt;12.5, H199/2,
IF(H199&lt;29, 6.25,
IF(H199&lt;50, 6.5,
IF(H199&lt;79, 6.75,
VALUE(SUBSTITUTE(
INDEX(RESUMO!$J$2:$J$100, MATCH(1,
(D199&gt;=RESUMO!$H$2:$H$100)*(D199&lt;=RESUMO!$I$2:$I$100)*(H199&gt;=RESUMO!$K$2:$K$100)*(H199&lt;=RESUMO!$L$2:$L$100),
0)), "R$ ", ""))
))))</f>
        <v>18.760000000000002</v>
      </c>
      <c r="K199" s="9">
        <v>0</v>
      </c>
      <c r="L199" s="10">
        <f t="shared" si="41"/>
        <v>0.10424495892457056</v>
      </c>
      <c r="M199" s="7">
        <v>143.9</v>
      </c>
      <c r="N199" s="48">
        <v>0.17</v>
      </c>
      <c r="O199" s="78" cm="1">
        <f t="array" ref="O199">IF(M199&lt;12.5, 0,
IF(M199&lt;29, 6.25,
IF(M199&lt;50, 6.5,
IF(M199&lt;79, 6.75,
VALUE(SUBSTITUTE(
INDEX(RESUMO!$J$2:$J$100, MATCH(1,
(D199&gt;=RESUMO!$H$2:$H$100)*(D199&lt;=RESUMO!$I$2:$I$100)*(M199&gt;=RESUMO!$K$2:$K$100)*(M199&lt;=RESUMO!$L$2:$L$100),
0)), "R$ ", ""))
))))</f>
        <v>18.760000000000002</v>
      </c>
      <c r="P199" s="9">
        <v>0</v>
      </c>
      <c r="Q199" s="10">
        <f t="shared" si="42"/>
        <v>0.10815427380125088</v>
      </c>
      <c r="R199" s="5">
        <f t="shared" si="43"/>
        <v>95.798400000000001</v>
      </c>
      <c r="S199" s="5">
        <f t="shared" si="44"/>
        <v>13.958399999999997</v>
      </c>
      <c r="T199" s="5">
        <f t="shared" si="45"/>
        <v>97.403400000000005</v>
      </c>
      <c r="U199" s="5">
        <f t="shared" si="46"/>
        <v>15.563400000000001</v>
      </c>
    </row>
    <row r="200" spans="1:21" x14ac:dyDescent="0.25">
      <c r="A200" s="11" t="s">
        <v>33</v>
      </c>
      <c r="B200" s="6" t="s">
        <v>256</v>
      </c>
      <c r="C200" s="9">
        <v>103.51</v>
      </c>
      <c r="D200" s="6">
        <v>4</v>
      </c>
      <c r="E200" s="8">
        <v>0.04</v>
      </c>
      <c r="F200" s="49">
        <v>0</v>
      </c>
      <c r="G200" s="9">
        <v>2</v>
      </c>
      <c r="H200" s="9">
        <v>169.9</v>
      </c>
      <c r="I200" s="48">
        <v>0.12</v>
      </c>
      <c r="J200" s="78" cm="1">
        <f t="array" ref="J200">IF(H200&lt;12.5, H200/2,
IF(H200&lt;29, 6.25,
IF(H200&lt;50, 6.5,
IF(H200&lt;79, 6.75,
VALUE(SUBSTITUTE(
INDEX(RESUMO!$J$2:$J$100, MATCH(1,
(D200&gt;=RESUMO!$H$2:$H$100)*(D200&lt;=RESUMO!$I$2:$I$100)*(H200&gt;=RESUMO!$K$2:$K$100)*(H200&lt;=RESUMO!$L$2:$L$100),
0)), "R$ ", ""))
))))</f>
        <v>24.25</v>
      </c>
      <c r="K200" s="9">
        <v>0</v>
      </c>
      <c r="L200" s="10">
        <f>S200/H200</f>
        <v>0.10365862271924658</v>
      </c>
      <c r="M200" s="7">
        <v>180.9</v>
      </c>
      <c r="N200" s="48">
        <v>0.17</v>
      </c>
      <c r="O200" s="78" cm="1">
        <f t="array" ref="O200">IF(M200&lt;12.5, 0,
IF(M200&lt;29, 6.25,
IF(M200&lt;50, 6.5,
IF(M200&lt;79, 6.75,
VALUE(SUBSTITUTE(
INDEX(RESUMO!$J$2:$J$100, MATCH(1,
(D200&gt;=RESUMO!$H$2:$H$100)*(D200&lt;=RESUMO!$I$2:$I$100)*(M200&gt;=RESUMO!$K$2:$K$100)*(M200&lt;=RESUMO!$L$2:$L$100),
0)), "R$ ", ""))
))))</f>
        <v>24.25</v>
      </c>
      <c r="P200" s="9">
        <v>0</v>
      </c>
      <c r="Q200" s="10">
        <f t="shared" si="42"/>
        <v>0.10086567164179097</v>
      </c>
      <c r="R200" s="5">
        <f t="shared" si="43"/>
        <v>121.1216</v>
      </c>
      <c r="S200" s="5">
        <f t="shared" si="44"/>
        <v>17.611599999999996</v>
      </c>
      <c r="T200" s="5">
        <f t="shared" si="45"/>
        <v>121.75659999999999</v>
      </c>
      <c r="U200" s="5">
        <f t="shared" si="46"/>
        <v>18.246599999999987</v>
      </c>
    </row>
    <row r="201" spans="1:21" x14ac:dyDescent="0.25">
      <c r="A201" s="11" t="s">
        <v>25</v>
      </c>
      <c r="B201" s="6" t="s">
        <v>257</v>
      </c>
      <c r="C201" s="9">
        <v>76.319999999999993</v>
      </c>
      <c r="D201" s="6">
        <v>1</v>
      </c>
      <c r="E201" s="8">
        <v>0.04</v>
      </c>
      <c r="F201" s="49">
        <v>0</v>
      </c>
      <c r="G201" s="9">
        <v>2</v>
      </c>
      <c r="H201" s="9">
        <v>126</v>
      </c>
      <c r="I201" s="48">
        <v>0.12</v>
      </c>
      <c r="J201" s="78" cm="1">
        <f t="array" ref="J201">IF(H201&lt;12.5, H201/2,
IF(H201&lt;29, 6.25,
IF(H201&lt;50, 6.5,
IF(H201&lt;79, 6.75,
VALUE(SUBSTITUTE(
INDEX(RESUMO!$J$2:$J$100, MATCH(1,
(D201&gt;=RESUMO!$H$2:$H$100)*(D201&lt;=RESUMO!$I$2:$I$100)*(H201&gt;=RESUMO!$K$2:$K$100)*(H201&lt;=RESUMO!$L$2:$L$100),
0)), "R$ ", ""))
))))</f>
        <v>17.95</v>
      </c>
      <c r="K201" s="9">
        <v>0</v>
      </c>
      <c r="L201" s="10">
        <f t="shared" si="41"/>
        <v>0.10759682539682536</v>
      </c>
      <c r="M201" s="7">
        <v>135</v>
      </c>
      <c r="N201" s="48">
        <v>0.17</v>
      </c>
      <c r="O201" s="78" cm="1">
        <f t="array" ref="O201">IF(M201&lt;12.5, 0,
IF(M201&lt;29, 6.25,
IF(M201&lt;50, 6.5,
IF(M201&lt;79, 6.75,
VALUE(SUBSTITUTE(
INDEX(RESUMO!$J$2:$J$100, MATCH(1,
(D201&gt;=RESUMO!$H$2:$H$100)*(D201&lt;=RESUMO!$I$2:$I$100)*(M201&gt;=RESUMO!$K$2:$K$100)*(M201&lt;=RESUMO!$L$2:$L$100),
0)), "R$ ", ""))
))))</f>
        <v>17.95</v>
      </c>
      <c r="P201" s="9">
        <v>0</v>
      </c>
      <c r="Q201" s="10">
        <f t="shared" si="42"/>
        <v>0.10909037037037034</v>
      </c>
      <c r="R201" s="5">
        <f t="shared" si="43"/>
        <v>89.877199999999988</v>
      </c>
      <c r="S201" s="5">
        <f t="shared" si="44"/>
        <v>13.557199999999995</v>
      </c>
      <c r="T201" s="5">
        <f t="shared" si="45"/>
        <v>91.047199999999989</v>
      </c>
      <c r="U201" s="5">
        <f t="shared" si="46"/>
        <v>14.727199999999996</v>
      </c>
    </row>
    <row r="202" spans="1:21" x14ac:dyDescent="0.25">
      <c r="A202" s="11" t="s">
        <v>33</v>
      </c>
      <c r="B202" s="6" t="s">
        <v>258</v>
      </c>
      <c r="C202" s="9">
        <v>81.84</v>
      </c>
      <c r="D202" s="6">
        <v>2</v>
      </c>
      <c r="E202" s="8">
        <v>0.04</v>
      </c>
      <c r="F202" s="49">
        <v>0</v>
      </c>
      <c r="G202" s="9">
        <v>2</v>
      </c>
      <c r="H202" s="9">
        <v>138</v>
      </c>
      <c r="I202" s="48">
        <v>0.12</v>
      </c>
      <c r="J202" s="78" cm="1">
        <f t="array" ref="J202">IF(H202&lt;12.5, H202/2,
IF(H202&lt;29, 6.25,
IF(H202&lt;50, 6.5,
IF(H202&lt;79, 6.75,
VALUE(SUBSTITUTE(
INDEX(RESUMO!$J$2:$J$100, MATCH(1,
(D202&gt;=RESUMO!$H$2:$H$100)*(D202&lt;=RESUMO!$I$2:$I$100)*(H202&gt;=RESUMO!$K$2:$K$100)*(H202&lt;=RESUMO!$L$2:$L$100),
0)), "R$ ", ""))
))))</f>
        <v>18.760000000000002</v>
      </c>
      <c r="K202" s="9">
        <v>0</v>
      </c>
      <c r="L202" s="10">
        <f t="shared" si="41"/>
        <v>0.12729275362318831</v>
      </c>
      <c r="M202" s="7">
        <v>146</v>
      </c>
      <c r="N202" s="48">
        <v>0.17</v>
      </c>
      <c r="O202" s="78" cm="1">
        <f t="array" ref="O202">IF(M202&lt;12.5, 0,
IF(M202&lt;29, 6.25,
IF(M202&lt;50, 6.5,
IF(M202&lt;79, 6.75,
VALUE(SUBSTITUTE(
INDEX(RESUMO!$J$2:$J$100, MATCH(1,
(D202&gt;=RESUMO!$H$2:$H$100)*(D202&lt;=RESUMO!$I$2:$I$100)*(M202&gt;=RESUMO!$K$2:$K$100)*(M202&lt;=RESUMO!$L$2:$L$100),
0)), "R$ ", ""))
))))</f>
        <v>18.760000000000002</v>
      </c>
      <c r="P202" s="9">
        <v>0</v>
      </c>
      <c r="Q202" s="10">
        <f t="shared" si="42"/>
        <v>0.11853698630136984</v>
      </c>
      <c r="R202" s="5">
        <f t="shared" si="43"/>
        <v>99.406399999999991</v>
      </c>
      <c r="S202" s="5">
        <f t="shared" si="44"/>
        <v>17.566399999999987</v>
      </c>
      <c r="T202" s="5">
        <f t="shared" si="45"/>
        <v>99.1464</v>
      </c>
      <c r="U202" s="5">
        <f t="shared" si="46"/>
        <v>17.306399999999996</v>
      </c>
    </row>
    <row r="203" spans="1:21" x14ac:dyDescent="0.25">
      <c r="A203" s="11" t="s">
        <v>25</v>
      </c>
      <c r="B203" s="6" t="s">
        <v>259</v>
      </c>
      <c r="C203" s="9">
        <v>76.319999999999993</v>
      </c>
      <c r="D203" s="6">
        <v>1</v>
      </c>
      <c r="E203" s="8">
        <v>0.04</v>
      </c>
      <c r="F203" s="49">
        <v>0</v>
      </c>
      <c r="G203" s="9">
        <v>2</v>
      </c>
      <c r="H203" s="9">
        <v>125.9</v>
      </c>
      <c r="I203" s="48">
        <v>0.12</v>
      </c>
      <c r="J203" s="78" cm="1">
        <f t="array" ref="J203">IF(H203&lt;12.5, H203/2,
IF(H203&lt;29, 6.25,
IF(H203&lt;50, 6.5,
IF(H203&lt;79, 6.75,
VALUE(SUBSTITUTE(
INDEX(RESUMO!$J$2:$J$100, MATCH(1,
(D203&gt;=RESUMO!$H$2:$H$100)*(D203&lt;=RESUMO!$I$2:$I$100)*(H203&gt;=RESUMO!$K$2:$K$100)*(H203&lt;=RESUMO!$L$2:$L$100),
0)), "R$ ", ""))
))))</f>
        <v>17.95</v>
      </c>
      <c r="K203" s="9">
        <v>0</v>
      </c>
      <c r="L203" s="10">
        <f t="shared" si="41"/>
        <v>0.10698332009531374</v>
      </c>
      <c r="M203" s="7">
        <v>135</v>
      </c>
      <c r="N203" s="48">
        <v>0.17</v>
      </c>
      <c r="O203" s="78" cm="1">
        <f t="array" ref="O203">IF(M203&lt;12.5, 0,
IF(M203&lt;29, 6.25,
IF(M203&lt;50, 6.5,
IF(M203&lt;79, 6.75,
VALUE(SUBSTITUTE(
INDEX(RESUMO!$J$2:$J$100, MATCH(1,
(D203&gt;=RESUMO!$H$2:$H$100)*(D203&lt;=RESUMO!$I$2:$I$100)*(M203&gt;=RESUMO!$K$2:$K$100)*(M203&lt;=RESUMO!$L$2:$L$100),
0)), "R$ ", ""))
))))</f>
        <v>17.95</v>
      </c>
      <c r="P203" s="9">
        <v>0</v>
      </c>
      <c r="Q203" s="10">
        <f t="shared" si="42"/>
        <v>0.10909037037037034</v>
      </c>
      <c r="R203" s="5">
        <f t="shared" si="43"/>
        <v>89.789199999999994</v>
      </c>
      <c r="S203" s="5">
        <f t="shared" si="44"/>
        <v>13.469200000000001</v>
      </c>
      <c r="T203" s="5">
        <f t="shared" si="45"/>
        <v>91.047199999999989</v>
      </c>
      <c r="U203" s="5">
        <f t="shared" si="46"/>
        <v>14.727199999999996</v>
      </c>
    </row>
    <row r="204" spans="1:21" x14ac:dyDescent="0.25">
      <c r="A204" s="11" t="s">
        <v>25</v>
      </c>
      <c r="B204" s="6" t="s">
        <v>260</v>
      </c>
      <c r="C204" s="9">
        <v>47.72</v>
      </c>
      <c r="D204" s="6">
        <v>0.5</v>
      </c>
      <c r="E204" s="8">
        <v>0.04</v>
      </c>
      <c r="F204" s="49">
        <v>0</v>
      </c>
      <c r="G204" s="9">
        <v>2</v>
      </c>
      <c r="H204" s="9">
        <v>83.9</v>
      </c>
      <c r="I204" s="48">
        <v>0.12</v>
      </c>
      <c r="J204" s="78" cm="1">
        <f t="array" ref="J204">IF(H204&lt;12.5, H204/2,
IF(H204&lt;29, 6.25,
IF(H204&lt;50, 6.5,
IF(H204&lt;79, 6.75,
VALUE(SUBSTITUTE(
INDEX(RESUMO!$J$2:$J$100, MATCH(1,
(D204&gt;=RESUMO!$H$2:$H$100)*(D204&lt;=RESUMO!$I$2:$I$100)*(H204&gt;=RESUMO!$K$2:$K$100)*(H204&lt;=RESUMO!$L$2:$L$100),
0)), "R$ ", ""))
))))</f>
        <v>12.87</v>
      </c>
      <c r="K204" s="9">
        <v>0</v>
      </c>
      <c r="L204" s="10">
        <f t="shared" ref="L204:L209" si="47">S204/H204</f>
        <v>0.13507985697258654</v>
      </c>
      <c r="M204" s="7">
        <v>112</v>
      </c>
      <c r="N204" s="48">
        <v>0.17</v>
      </c>
      <c r="O204" s="78" cm="1">
        <f t="array" ref="O204">IF(M204&lt;12.5, 0,
IF(M204&lt;29, 6.25,
IF(M204&lt;50, 6.5,
IF(M204&lt;79, 6.75,
VALUE(SUBSTITUTE(
INDEX(RESUMO!$J$2:$J$100, MATCH(1,
(D204&gt;=RESUMO!$H$2:$H$100)*(D204&lt;=RESUMO!$I$2:$I$100)*(M204&gt;=RESUMO!$K$2:$K$100)*(M204&lt;=RESUMO!$L$2:$L$100),
0)), "R$ ", ""))
))))</f>
        <v>15.01</v>
      </c>
      <c r="P204" s="9">
        <v>0</v>
      </c>
      <c r="Q204" s="10">
        <f t="shared" si="42"/>
        <v>0.25286785714285703</v>
      </c>
      <c r="R204" s="5">
        <f t="shared" si="43"/>
        <v>59.053200000000011</v>
      </c>
      <c r="S204" s="5">
        <f t="shared" si="44"/>
        <v>11.333200000000012</v>
      </c>
      <c r="T204" s="5">
        <f t="shared" si="45"/>
        <v>76.041199999999989</v>
      </c>
      <c r="U204" s="5">
        <f t="shared" si="46"/>
        <v>28.32119999999999</v>
      </c>
    </row>
    <row r="205" spans="1:21" x14ac:dyDescent="0.25">
      <c r="A205" s="11" t="s">
        <v>33</v>
      </c>
      <c r="B205" s="6" t="s">
        <v>261</v>
      </c>
      <c r="C205" s="9">
        <v>81.75</v>
      </c>
      <c r="D205" s="6">
        <v>2</v>
      </c>
      <c r="E205" s="8">
        <v>0.04</v>
      </c>
      <c r="F205" s="49">
        <v>0</v>
      </c>
      <c r="G205" s="9">
        <v>2</v>
      </c>
      <c r="H205" s="9">
        <v>134</v>
      </c>
      <c r="I205" s="48">
        <v>0.12</v>
      </c>
      <c r="J205" s="78" cm="1">
        <f t="array" ref="J205">IF(H205&lt;12.5, H205/2,
IF(H205&lt;29, 6.25,
IF(H205&lt;50, 6.5,
IF(H205&lt;79, 6.75,
VALUE(SUBSTITUTE(
INDEX(RESUMO!$J$2:$J$100, MATCH(1,
(D205&gt;=RESUMO!$H$2:$H$100)*(D205&lt;=RESUMO!$I$2:$I$100)*(H205&gt;=RESUMO!$K$2:$K$100)*(H205&lt;=RESUMO!$L$2:$L$100),
0)), "R$ ", ""))
))))</f>
        <v>18.760000000000002</v>
      </c>
      <c r="K205" s="9">
        <v>0</v>
      </c>
      <c r="L205" s="10">
        <f t="shared" si="47"/>
        <v>0.1055223880597015</v>
      </c>
      <c r="M205" s="7">
        <v>147</v>
      </c>
      <c r="N205" s="48">
        <v>0.17</v>
      </c>
      <c r="O205" s="78" cm="1">
        <f t="array" ref="O205">IF(M205&lt;12.5, 0,
IF(M205&lt;29, 6.25,
IF(M205&lt;50, 6.5,
IF(M205&lt;79, 6.75,
VALUE(SUBSTITUTE(
INDEX(RESUMO!$J$2:$J$100, MATCH(1,
(D205&gt;=RESUMO!$H$2:$H$100)*(D205&lt;=RESUMO!$I$2:$I$100)*(M205&gt;=RESUMO!$K$2:$K$100)*(M205&lt;=RESUMO!$L$2:$L$100),
0)), "R$ ", ""))
))))</f>
        <v>18.760000000000002</v>
      </c>
      <c r="P205" s="9">
        <v>0</v>
      </c>
      <c r="Q205" s="10">
        <f t="shared" si="42"/>
        <v>0.12401360544217681</v>
      </c>
      <c r="R205" s="5">
        <f t="shared" si="43"/>
        <v>95.89</v>
      </c>
      <c r="S205" s="5">
        <f t="shared" si="44"/>
        <v>14.14</v>
      </c>
      <c r="T205" s="5">
        <f t="shared" si="45"/>
        <v>99.97999999999999</v>
      </c>
      <c r="U205" s="5">
        <f t="shared" si="46"/>
        <v>18.22999999999999</v>
      </c>
    </row>
    <row r="206" spans="1:21" x14ac:dyDescent="0.25">
      <c r="A206" s="11" t="s">
        <v>33</v>
      </c>
      <c r="B206" s="6" t="s">
        <v>262</v>
      </c>
      <c r="C206" s="9">
        <v>84.87</v>
      </c>
      <c r="D206" s="6">
        <v>2</v>
      </c>
      <c r="E206" s="8">
        <v>0.04</v>
      </c>
      <c r="F206" s="49">
        <v>0</v>
      </c>
      <c r="G206" s="9">
        <v>0</v>
      </c>
      <c r="H206" s="9">
        <v>160.81652582627399</v>
      </c>
      <c r="I206" s="48">
        <v>0.12</v>
      </c>
      <c r="J206" s="78" cm="1">
        <f t="array" ref="J206">IF(H206&lt;12.5, H206/2,
IF(H206&lt;29, 6.25,
IF(H206&lt;50, 6.5,
IF(H206&lt;79, 6.75,
VALUE(SUBSTITUTE(
INDEX(RESUMO!$J$2:$J$100, MATCH(1,
(D206&gt;=RESUMO!$H$2:$H$100)*(D206&lt;=RESUMO!$I$2:$I$100)*(H206&gt;=RESUMO!$K$2:$K$100)*(H206&lt;=RESUMO!$L$2:$L$100),
0)), "R$ ", ""))
))))</f>
        <v>21.1</v>
      </c>
      <c r="K206" s="9">
        <v>0</v>
      </c>
      <c r="L206" s="10">
        <f t="shared" si="47"/>
        <v>0.19994053821219832</v>
      </c>
      <c r="M206" s="7">
        <v>150</v>
      </c>
      <c r="N206" s="48">
        <v>0.17</v>
      </c>
      <c r="O206" s="78" cm="1">
        <f t="array" ref="O206">IF(M206&lt;12.5, 0,
IF(M206&lt;29, 6.25,
IF(M206&lt;50, 6.5,
IF(M206&lt;79, 6.75,
VALUE(SUBSTITUTE(
INDEX(RESUMO!$J$2:$J$100, MATCH(1,
(D206&gt;=RESUMO!$H$2:$H$100)*(D206&lt;=RESUMO!$I$2:$I$100)*(M206&gt;=RESUMO!$K$2:$K$100)*(M206&lt;=RESUMO!$L$2:$L$100),
0)), "R$ ", ""))
))))</f>
        <v>21.1</v>
      </c>
      <c r="P206" s="9">
        <v>0</v>
      </c>
      <c r="Q206" s="10">
        <f t="shared" si="42"/>
        <v>0.10090133333333332</v>
      </c>
      <c r="R206" s="5">
        <f t="shared" si="43"/>
        <v>117.02374272712112</v>
      </c>
      <c r="S206" s="5">
        <f t="shared" si="44"/>
        <v>32.153742727121113</v>
      </c>
      <c r="T206" s="5">
        <f t="shared" si="45"/>
        <v>100.0052</v>
      </c>
      <c r="U206" s="5">
        <f t="shared" si="46"/>
        <v>15.135199999999998</v>
      </c>
    </row>
    <row r="207" spans="1:21" x14ac:dyDescent="0.25">
      <c r="A207" s="11" t="s">
        <v>25</v>
      </c>
      <c r="B207" s="6" t="s">
        <v>263</v>
      </c>
      <c r="C207" s="9">
        <v>76.319999999999993</v>
      </c>
      <c r="D207" s="6">
        <v>1</v>
      </c>
      <c r="E207" s="8">
        <v>0.04</v>
      </c>
      <c r="F207" s="49">
        <v>0</v>
      </c>
      <c r="G207" s="9">
        <v>2</v>
      </c>
      <c r="H207" s="9">
        <v>128</v>
      </c>
      <c r="I207" s="48">
        <v>0.12</v>
      </c>
      <c r="J207" s="78" cm="1">
        <f t="array" ref="J207">IF(H207&lt;12.5, H207/2,
IF(H207&lt;29, 6.25,
IF(H207&lt;50, 6.5,
IF(H207&lt;79, 6.75,
VALUE(SUBSTITUTE(
INDEX(RESUMO!$J$2:$J$100, MATCH(1,
(D207&gt;=RESUMO!$H$2:$H$100)*(D207&lt;=RESUMO!$I$2:$I$100)*(H207&gt;=RESUMO!$K$2:$K$100)*(H207&lt;=RESUMO!$L$2:$L$100),
0)), "R$ ", ""))
))))</f>
        <v>17.95</v>
      </c>
      <c r="K207" s="9">
        <v>0</v>
      </c>
      <c r="L207" s="10">
        <f t="shared" si="47"/>
        <v>0.119665625</v>
      </c>
      <c r="M207" s="7">
        <v>140</v>
      </c>
      <c r="N207" s="48">
        <v>0.17</v>
      </c>
      <c r="O207" s="78" cm="1">
        <f t="array" ref="O207">IF(M207&lt;12.5, 0,
IF(M207&lt;29, 6.25,
IF(M207&lt;50, 6.5,
IF(M207&lt;79, 6.75,
VALUE(SUBSTITUTE(
INDEX(RESUMO!$J$2:$J$100, MATCH(1,
(D207&gt;=RESUMO!$H$2:$H$100)*(D207&lt;=RESUMO!$I$2:$I$100)*(M207&gt;=RESUMO!$K$2:$K$100)*(M207&lt;=RESUMO!$L$2:$L$100),
0)), "R$ ", ""))
))))</f>
        <v>17.95</v>
      </c>
      <c r="P207" s="9">
        <v>0</v>
      </c>
      <c r="Q207" s="10">
        <f t="shared" si="42"/>
        <v>0.13483714285714288</v>
      </c>
      <c r="R207" s="5">
        <f t="shared" si="43"/>
        <v>91.637199999999993</v>
      </c>
      <c r="S207" s="5">
        <f t="shared" si="44"/>
        <v>15.3172</v>
      </c>
      <c r="T207" s="5">
        <f t="shared" si="45"/>
        <v>95.197199999999995</v>
      </c>
      <c r="U207" s="5">
        <f t="shared" si="46"/>
        <v>18.877200000000002</v>
      </c>
    </row>
    <row r="208" spans="1:21" x14ac:dyDescent="0.25">
      <c r="A208" s="11" t="s">
        <v>25</v>
      </c>
      <c r="B208" s="6" t="s">
        <v>264</v>
      </c>
      <c r="C208" s="9">
        <v>76.319999999999993</v>
      </c>
      <c r="D208" s="6">
        <v>1</v>
      </c>
      <c r="E208" s="8">
        <v>0.04</v>
      </c>
      <c r="F208" s="49">
        <v>0</v>
      </c>
      <c r="G208" s="9">
        <v>2</v>
      </c>
      <c r="H208" s="9">
        <v>159</v>
      </c>
      <c r="I208" s="48">
        <v>0.12</v>
      </c>
      <c r="J208" s="78" cm="1">
        <f t="array" ref="J208">IF(H208&lt;12.5, H208/2,
IF(H208&lt;29, 6.25,
IF(H208&lt;50, 6.5,
IF(H208&lt;79, 6.75,
VALUE(SUBSTITUTE(
INDEX(RESUMO!$J$2:$J$100, MATCH(1,
(D208&gt;=RESUMO!$H$2:$H$100)*(D208&lt;=RESUMO!$I$2:$I$100)*(H208&gt;=RESUMO!$K$2:$K$100)*(H208&lt;=RESUMO!$L$2:$L$100),
0)), "R$ ", ""))
))))</f>
        <v>20.2</v>
      </c>
      <c r="K208" s="9">
        <v>0</v>
      </c>
      <c r="L208" s="10">
        <f t="shared" si="47"/>
        <v>0.25375597484276741</v>
      </c>
      <c r="M208" s="7">
        <v>138</v>
      </c>
      <c r="N208" s="48">
        <v>0.17</v>
      </c>
      <c r="O208" s="78" cm="1">
        <f t="array" ref="O208">IF(M208&lt;12.5, 0,
IF(M208&lt;29, 6.25,
IF(M208&lt;50, 6.5,
IF(M208&lt;79, 6.75,
VALUE(SUBSTITUTE(
INDEX(RESUMO!$J$2:$J$100, MATCH(1,
(D208&gt;=RESUMO!$H$2:$H$100)*(D208&lt;=RESUMO!$I$2:$I$100)*(M208&gt;=RESUMO!$K$2:$K$100)*(M208&lt;=RESUMO!$L$2:$L$100),
0)), "R$ ", ""))
))))</f>
        <v>17.95</v>
      </c>
      <c r="P208" s="9">
        <v>0</v>
      </c>
      <c r="Q208" s="10">
        <f t="shared" si="42"/>
        <v>0.12476231884057964</v>
      </c>
      <c r="R208" s="5">
        <f t="shared" si="43"/>
        <v>116.66720000000001</v>
      </c>
      <c r="S208" s="5">
        <f t="shared" si="44"/>
        <v>40.347200000000015</v>
      </c>
      <c r="T208" s="5">
        <f t="shared" si="45"/>
        <v>93.537199999999984</v>
      </c>
      <c r="U208" s="5">
        <f t="shared" si="46"/>
        <v>17.217199999999991</v>
      </c>
    </row>
    <row r="209" spans="1:21" x14ac:dyDescent="0.25">
      <c r="A209" s="11" t="s">
        <v>25</v>
      </c>
      <c r="B209" s="6" t="s">
        <v>265</v>
      </c>
      <c r="C209" s="9">
        <v>75.08</v>
      </c>
      <c r="D209" s="6">
        <v>2</v>
      </c>
      <c r="E209" s="8">
        <v>0.04</v>
      </c>
      <c r="F209" s="49">
        <v>0</v>
      </c>
      <c r="G209" s="9">
        <v>2</v>
      </c>
      <c r="H209" s="9">
        <v>142.40575561254599</v>
      </c>
      <c r="I209" s="48">
        <v>0.12</v>
      </c>
      <c r="J209" s="78" cm="1">
        <f t="array" ref="J209">IF(H209&lt;12.5, H209/2,
IF(H209&lt;29, 6.25,
IF(H209&lt;50, 6.5,
IF(H209&lt;79, 6.75,
VALUE(SUBSTITUTE(
INDEX(RESUMO!$J$2:$J$100, MATCH(1,
(D209&gt;=RESUMO!$H$2:$H$100)*(D209&lt;=RESUMO!$I$2:$I$100)*(H209&gt;=RESUMO!$K$2:$K$100)*(H209&lt;=RESUMO!$L$2:$L$100),
0)), "R$ ", ""))
))))</f>
        <v>18.760000000000002</v>
      </c>
      <c r="K209" s="9">
        <v>0</v>
      </c>
      <c r="L209" s="10">
        <f t="shared" si="47"/>
        <v>0.19994883504927599</v>
      </c>
      <c r="M209" s="7">
        <v>134</v>
      </c>
      <c r="N209" s="48">
        <v>0.17</v>
      </c>
      <c r="O209" s="78" cm="1">
        <f t="array" ref="O209">IF(M209&lt;12.5, 0,
IF(M209&lt;29, 6.25,
IF(M209&lt;50, 6.5,
IF(M209&lt;79, 6.75,
VALUE(SUBSTITUTE(
INDEX(RESUMO!$J$2:$J$100, MATCH(1,
(D209&gt;=RESUMO!$H$2:$H$100)*(D209&lt;=RESUMO!$I$2:$I$100)*(M209&gt;=RESUMO!$K$2:$K$100)*(M209&lt;=RESUMO!$L$2:$L$100),
0)), "R$ ", ""))
))))</f>
        <v>18.760000000000002</v>
      </c>
      <c r="P209" s="9">
        <v>0</v>
      </c>
      <c r="Q209" s="10">
        <f t="shared" si="42"/>
        <v>0.10728955223880589</v>
      </c>
      <c r="R209" s="5">
        <f t="shared" si="43"/>
        <v>103.55386493904047</v>
      </c>
      <c r="S209" s="5">
        <f t="shared" si="44"/>
        <v>28.473864939040467</v>
      </c>
      <c r="T209" s="5">
        <f t="shared" si="45"/>
        <v>89.456799999999987</v>
      </c>
      <c r="U209" s="5">
        <f t="shared" si="46"/>
        <v>14.376799999999989</v>
      </c>
    </row>
    <row r="210" spans="1:21" x14ac:dyDescent="0.25">
      <c r="A210" s="11" t="s">
        <v>25</v>
      </c>
      <c r="B210" s="6" t="s">
        <v>266</v>
      </c>
      <c r="C210" s="9">
        <v>74.56</v>
      </c>
      <c r="D210" s="6">
        <v>2</v>
      </c>
      <c r="E210" s="8">
        <v>0.04</v>
      </c>
      <c r="F210" s="49">
        <v>0</v>
      </c>
      <c r="G210" s="9">
        <v>0</v>
      </c>
      <c r="H210" s="9">
        <v>145.05513037216727</v>
      </c>
      <c r="I210" s="48">
        <v>0.12</v>
      </c>
      <c r="J210" s="78" cm="1">
        <f t="array" ref="J210">IF(H210&lt;12.5, H210/2,
IF(H210&lt;29, 6.25,
IF(H210&lt;50, 6.5,
IF(H210&lt;79, 6.75,
VALUE(SUBSTITUTE(
INDEX(RESUMO!$J$2:$J$100, MATCH(1,
(D210&gt;=RESUMO!$H$2:$H$100)*(D210&lt;=RESUMO!$I$2:$I$100)*(H210&gt;=RESUMO!$K$2:$K$100)*(H210&lt;=RESUMO!$L$2:$L$100),
0)), "R$ ", ""))
))))</f>
        <v>18.760000000000002</v>
      </c>
      <c r="K210" s="9">
        <v>0</v>
      </c>
      <c r="L210" s="10">
        <f t="shared" si="41"/>
        <v>0.21609793908759117</v>
      </c>
      <c r="M210" s="7">
        <v>136</v>
      </c>
      <c r="N210" s="48">
        <v>0.17</v>
      </c>
      <c r="O210" s="78" cm="1">
        <f t="array" ref="O210">IF(M210&lt;12.5, 0,
IF(M210&lt;29, 6.25,
IF(M210&lt;50, 6.5,
IF(M210&lt;79, 6.75,
VALUE(SUBSTITUTE(
INDEX(RESUMO!$J$2:$J$100, MATCH(1,
(D210&gt;=RESUMO!$H$2:$H$100)*(D210&lt;=RESUMO!$I$2:$I$100)*(M210&gt;=RESUMO!$K$2:$K$100)*(M210&lt;=RESUMO!$L$2:$L$100),
0)), "R$ ", ""))
))))</f>
        <v>18.760000000000002</v>
      </c>
      <c r="P210" s="9">
        <v>0</v>
      </c>
      <c r="Q210" s="10">
        <f t="shared" si="42"/>
        <v>0.12189411764705875</v>
      </c>
      <c r="R210" s="5">
        <f t="shared" si="43"/>
        <v>105.9061147275072</v>
      </c>
      <c r="S210" s="5">
        <f t="shared" si="44"/>
        <v>31.346114727507199</v>
      </c>
      <c r="T210" s="5">
        <f t="shared" si="45"/>
        <v>91.137599999999992</v>
      </c>
      <c r="U210" s="5">
        <f t="shared" si="46"/>
        <v>16.57759999999999</v>
      </c>
    </row>
    <row r="211" spans="1:21" x14ac:dyDescent="0.25">
      <c r="A211" s="11" t="s">
        <v>33</v>
      </c>
      <c r="B211" s="6" t="s">
        <v>267</v>
      </c>
      <c r="C211" s="9">
        <v>89</v>
      </c>
      <c r="D211" s="6">
        <v>2</v>
      </c>
      <c r="E211" s="8">
        <v>0.04</v>
      </c>
      <c r="F211" s="49">
        <v>0</v>
      </c>
      <c r="G211" s="9">
        <v>0</v>
      </c>
      <c r="H211" s="9">
        <v>165.80884067124401</v>
      </c>
      <c r="I211" s="48">
        <v>0.12</v>
      </c>
      <c r="J211" s="78" cm="1">
        <f t="array" ref="J211">IF(H211&lt;12.5, H211/2,
IF(H211&lt;29, 6.25,
IF(H211&lt;50, 6.5,
IF(H211&lt;79, 6.75,
VALUE(SUBSTITUTE(
INDEX(RESUMO!$J$2:$J$100, MATCH(1,
(D211&gt;=RESUMO!$H$2:$H$100)*(D211&lt;=RESUMO!$I$2:$I$100)*(H211&gt;=RESUMO!$K$2:$K$100)*(H211&lt;=RESUMO!$L$2:$L$100),
0)), "R$ ", ""))
))))</f>
        <v>21.1</v>
      </c>
      <c r="K211" s="9">
        <v>0</v>
      </c>
      <c r="L211" s="10">
        <f t="shared" si="41"/>
        <v>0.19451182253087257</v>
      </c>
      <c r="M211" s="7">
        <v>160</v>
      </c>
      <c r="N211" s="48">
        <v>0.17</v>
      </c>
      <c r="O211" s="78" cm="1">
        <f t="array" ref="O211">IF(M211&lt;12.5, 0,
IF(M211&lt;29, 6.25,
IF(M211&lt;50, 6.5,
IF(M211&lt;79, 6.75,
VALUE(SUBSTITUTE(
INDEX(RESUMO!$J$2:$J$100, MATCH(1,
(D211&gt;=RESUMO!$H$2:$H$100)*(D211&lt;=RESUMO!$I$2:$I$100)*(M211&gt;=RESUMO!$K$2:$K$100)*(M211&lt;=RESUMO!$L$2:$L$100),
0)), "R$ ", ""))
))))</f>
        <v>21.1</v>
      </c>
      <c r="P211" s="9">
        <v>0</v>
      </c>
      <c r="Q211" s="10">
        <f t="shared" si="42"/>
        <v>0.11962500000000009</v>
      </c>
      <c r="R211" s="5">
        <f t="shared" si="43"/>
        <v>121.25177979069474</v>
      </c>
      <c r="S211" s="5">
        <f t="shared" si="44"/>
        <v>32.251779790694741</v>
      </c>
      <c r="T211" s="5">
        <f t="shared" si="45"/>
        <v>108.14000000000001</v>
      </c>
      <c r="U211" s="5">
        <f t="shared" si="46"/>
        <v>19.140000000000015</v>
      </c>
    </row>
    <row r="212" spans="1:21" x14ac:dyDescent="0.25">
      <c r="A212" s="11" t="s">
        <v>33</v>
      </c>
      <c r="B212" s="6" t="s">
        <v>268</v>
      </c>
      <c r="C212" s="9">
        <v>81.93</v>
      </c>
      <c r="D212" s="6">
        <v>2</v>
      </c>
      <c r="E212" s="8">
        <v>0.04</v>
      </c>
      <c r="F212" s="49">
        <v>0</v>
      </c>
      <c r="G212" s="9">
        <v>0</v>
      </c>
      <c r="H212" s="9">
        <v>154.96370451004898</v>
      </c>
      <c r="I212" s="48">
        <v>0.12</v>
      </c>
      <c r="J212" s="78" cm="1">
        <f t="array" ref="J212">IF(H212&lt;12.5, H212/2,
IF(H212&lt;29, 6.25,
IF(H212&lt;50, 6.5,
IF(H212&lt;79, 6.75,
VALUE(SUBSTITUTE(
INDEX(RESUMO!$J$2:$J$100, MATCH(1,
(D212&gt;=RESUMO!$H$2:$H$100)*(D212&lt;=RESUMO!$I$2:$I$100)*(H212&gt;=RESUMO!$K$2:$K$100)*(H212&lt;=RESUMO!$L$2:$L$100),
0)), "R$ ", ""))
))))</f>
        <v>21.1</v>
      </c>
      <c r="K212" s="9">
        <v>0</v>
      </c>
      <c r="L212" s="10">
        <f>S212/H212</f>
        <v>0.19398645678926546</v>
      </c>
      <c r="M212" s="7">
        <v>146.25</v>
      </c>
      <c r="N212" s="48">
        <v>0.17</v>
      </c>
      <c r="O212" s="78" cm="1">
        <f t="array" ref="O212">IF(M212&lt;12.5, 0,
IF(M212&lt;29, 6.25,
IF(M212&lt;50, 6.5,
IF(M212&lt;79, 6.75,
VALUE(SUBSTITUTE(
INDEX(RESUMO!$J$2:$J$100, MATCH(1,
(D212&gt;=RESUMO!$H$2:$H$100)*(D212&lt;=RESUMO!$I$2:$I$100)*(M212&gt;=RESUMO!$K$2:$K$100)*(M212&lt;=RESUMO!$L$2:$L$100),
0)), "R$ ", ""))
))))</f>
        <v>18.760000000000002</v>
      </c>
      <c r="P212" s="9">
        <v>0</v>
      </c>
      <c r="Q212" s="10">
        <f t="shared" si="42"/>
        <v>0.11911316239316237</v>
      </c>
      <c r="R212" s="5">
        <f t="shared" si="43"/>
        <v>111.99085996884313</v>
      </c>
      <c r="S212" s="5">
        <f t="shared" si="44"/>
        <v>30.060859968843118</v>
      </c>
      <c r="T212" s="5">
        <f t="shared" si="45"/>
        <v>99.350300000000004</v>
      </c>
      <c r="U212" s="5">
        <f t="shared" si="46"/>
        <v>17.420299999999997</v>
      </c>
    </row>
    <row r="213" spans="1:21" x14ac:dyDescent="0.25">
      <c r="A213" s="11" t="s">
        <v>33</v>
      </c>
      <c r="B213" s="6" t="s">
        <v>269</v>
      </c>
      <c r="C213" s="9">
        <v>91.4</v>
      </c>
      <c r="D213" s="6">
        <v>2</v>
      </c>
      <c r="E213" s="8">
        <v>0.04</v>
      </c>
      <c r="F213" s="49">
        <v>0</v>
      </c>
      <c r="G213" s="9">
        <v>2</v>
      </c>
      <c r="H213" s="9">
        <v>145.9</v>
      </c>
      <c r="I213" s="48">
        <v>0.12</v>
      </c>
      <c r="J213" s="78" cm="1">
        <f t="array" ref="J213">IF(H213&lt;12.5, H213/2,
IF(H213&lt;29, 6.25,
IF(H213&lt;50, 6.5,
IF(H213&lt;79, 6.75,
VALUE(SUBSTITUTE(
INDEX(RESUMO!$J$2:$J$100, MATCH(1,
(D213&gt;=RESUMO!$H$2:$H$100)*(D213&lt;=RESUMO!$I$2:$I$100)*(H213&gt;=RESUMO!$K$2:$K$100)*(H213&lt;=RESUMO!$L$2:$L$100),
0)), "R$ ", ""))
))))</f>
        <v>18.760000000000002</v>
      </c>
      <c r="K213" s="9">
        <v>0</v>
      </c>
      <c r="L213" s="10">
        <f t="shared" si="41"/>
        <v>9.9904043865661263E-2</v>
      </c>
      <c r="M213" s="7">
        <v>159.9</v>
      </c>
      <c r="N213" s="48">
        <v>0.17</v>
      </c>
      <c r="O213" s="78" cm="1">
        <f t="array" ref="O213">IF(M213&lt;12.5, 0,
IF(M213&lt;29, 6.25,
IF(M213&lt;50, 6.5,
IF(M213&lt;79, 6.75,
VALUE(SUBSTITUTE(
INDEX(RESUMO!$J$2:$J$100, MATCH(1,
(D213&gt;=RESUMO!$H$2:$H$100)*(D213&lt;=RESUMO!$I$2:$I$100)*(M213&gt;=RESUMO!$K$2:$K$100)*(M213&lt;=RESUMO!$L$2:$L$100),
0)), "R$ ", ""))
))))</f>
        <v>21.1</v>
      </c>
      <c r="P213" s="9">
        <v>0</v>
      </c>
      <c r="Q213" s="10">
        <f t="shared" si="42"/>
        <v>0.10357098186366483</v>
      </c>
      <c r="R213" s="5">
        <f t="shared" si="43"/>
        <v>105.97599999999998</v>
      </c>
      <c r="S213" s="5">
        <f t="shared" si="44"/>
        <v>14.575999999999979</v>
      </c>
      <c r="T213" s="5">
        <f t="shared" si="45"/>
        <v>107.96100000000001</v>
      </c>
      <c r="U213" s="5">
        <f t="shared" si="46"/>
        <v>16.561000000000007</v>
      </c>
    </row>
    <row r="214" spans="1:21" x14ac:dyDescent="0.25">
      <c r="A214" s="11" t="s">
        <v>33</v>
      </c>
      <c r="B214" s="6" t="s">
        <v>270</v>
      </c>
      <c r="C214" s="9">
        <v>59.38</v>
      </c>
      <c r="D214" s="6">
        <v>2</v>
      </c>
      <c r="E214" s="8">
        <v>0.04</v>
      </c>
      <c r="F214" s="49">
        <v>0</v>
      </c>
      <c r="G214" s="9">
        <v>0</v>
      </c>
      <c r="H214" s="9">
        <v>110</v>
      </c>
      <c r="I214" s="48">
        <v>0.12</v>
      </c>
      <c r="J214" s="78" cm="1">
        <f t="array" ref="J214">IF(H214&lt;12.5, H214/2,
IF(H214&lt;29, 6.25,
IF(H214&lt;50, 6.5,
IF(H214&lt;79, 6.75,
VALUE(SUBSTITUTE(
INDEX(RESUMO!$J$2:$J$100, MATCH(1,
(D214&gt;=RESUMO!$H$2:$H$100)*(D214&lt;=RESUMO!$I$2:$I$100)*(H214&gt;=RESUMO!$K$2:$K$100)*(H214&lt;=RESUMO!$L$2:$L$100),
0)), "R$ ", ""))
))))</f>
        <v>16.41</v>
      </c>
      <c r="K214" s="9">
        <v>0</v>
      </c>
      <c r="L214" s="10">
        <f t="shared" si="41"/>
        <v>0.16940727272727266</v>
      </c>
      <c r="M214" s="7">
        <v>125.20791597459447</v>
      </c>
      <c r="N214" s="48">
        <v>0.17</v>
      </c>
      <c r="O214" s="78" cm="1">
        <f t="array" ref="O214">IF(M214&lt;12.5, 0,
IF(M214&lt;29, 6.25,
IF(M214&lt;50, 6.5,
IF(M214&lt;79, 6.75,
VALUE(SUBSTITUTE(
INDEX(RESUMO!$J$2:$J$100, MATCH(1,
(D214&gt;=RESUMO!$H$2:$H$100)*(D214&lt;=RESUMO!$I$2:$I$100)*(M214&gt;=RESUMO!$K$2:$K$100)*(M214&lt;=RESUMO!$L$2:$L$100),
0)), "R$ ", ""))
))))</f>
        <v>18.760000000000002</v>
      </c>
      <c r="P214" s="9">
        <v>0</v>
      </c>
      <c r="Q214" s="10">
        <f t="shared" si="42"/>
        <v>0.18694800625595356</v>
      </c>
      <c r="R214" s="5">
        <f t="shared" si="43"/>
        <v>78.014799999999994</v>
      </c>
      <c r="S214" s="5">
        <f t="shared" si="44"/>
        <v>18.634799999999991</v>
      </c>
      <c r="T214" s="5">
        <f t="shared" si="45"/>
        <v>82.787370258913398</v>
      </c>
      <c r="U214" s="5">
        <f t="shared" si="46"/>
        <v>23.407370258913396</v>
      </c>
    </row>
    <row r="215" spans="1:21" x14ac:dyDescent="0.25">
      <c r="A215" s="11" t="s">
        <v>33</v>
      </c>
      <c r="B215" s="6" t="s">
        <v>276</v>
      </c>
      <c r="C215" s="9">
        <v>529.94000000000005</v>
      </c>
      <c r="D215" s="6">
        <v>17</v>
      </c>
      <c r="E215" s="8">
        <v>0.04</v>
      </c>
      <c r="F215" s="49">
        <v>0</v>
      </c>
      <c r="G215" s="9">
        <v>2</v>
      </c>
      <c r="H215" s="9">
        <v>849</v>
      </c>
      <c r="I215" s="48">
        <v>0.11</v>
      </c>
      <c r="J215" s="78" cm="1">
        <f t="array" ref="J215">IF(H215&lt;12.5, H215/2,
IF(H215&lt;29, 6.25,
IF(H215&lt;50, 6.5,
IF(H215&lt;79, 6.75,
VALUE(SUBSTITUTE(
INDEX(RESUMO!$J$2:$J$100, MATCH(1,
(D215&gt;=RESUMO!$H$2:$H$100)*(D215&lt;=RESUMO!$I$2:$I$100)*(H215&gt;=RESUMO!$K$2:$K$100)*(H215&lt;=RESUMO!$L$2:$L$100),
0)), "R$ ", ""))
))))</f>
        <v>73.45</v>
      </c>
      <c r="K215" s="9">
        <v>0</v>
      </c>
      <c r="L215" s="10">
        <f t="shared" si="41"/>
        <v>0.15432555948174317</v>
      </c>
      <c r="M215" s="7">
        <v>915</v>
      </c>
      <c r="N215" s="48">
        <v>0.16</v>
      </c>
      <c r="O215" s="78" cm="1">
        <f t="array" ref="O215">IF(M215&lt;12.5, 0,
IF(M215&lt;29, 6.25,
IF(M215&lt;50, 6.5,
IF(M215&lt;79, 6.75,
VALUE(SUBSTITUTE(
INDEX(RESUMO!$J$2:$J$100, MATCH(1,
(D215&gt;=RESUMO!$H$2:$H$100)*(D215&lt;=RESUMO!$I$2:$I$100)*(M215&gt;=RESUMO!$K$2:$K$100)*(M215&lt;=RESUMO!$L$2:$L$100),
0)), "R$ ", ""))
))))</f>
        <v>73.45</v>
      </c>
      <c r="P215" s="9">
        <v>0</v>
      </c>
      <c r="Q215" s="10">
        <f t="shared" si="42"/>
        <v>0.15739060109289613</v>
      </c>
      <c r="R215" s="5">
        <f t="shared" si="43"/>
        <v>660.9624</v>
      </c>
      <c r="S215" s="5">
        <f t="shared" si="44"/>
        <v>131.02239999999995</v>
      </c>
      <c r="T215" s="5">
        <f t="shared" si="45"/>
        <v>673.95240000000001</v>
      </c>
      <c r="U215" s="5">
        <f t="shared" si="46"/>
        <v>144.01239999999996</v>
      </c>
    </row>
    <row r="216" spans="1:21" x14ac:dyDescent="0.25">
      <c r="A216" s="11"/>
      <c r="B216" s="6" t="s">
        <v>279</v>
      </c>
      <c r="C216" s="9"/>
      <c r="D216" s="6"/>
      <c r="E216" s="8"/>
      <c r="F216" s="49"/>
      <c r="G216" s="9"/>
      <c r="H216" s="9"/>
      <c r="I216" s="48"/>
      <c r="J216" s="78" cm="1">
        <f t="array" ref="J216">IF(H216&lt;12.5, H216/2,
IF(H216&lt;29, 6.25,
IF(H216&lt;50, 6.5,
IF(H216&lt;79, 6.75,
VALUE(SUBSTITUTE(
INDEX(RESUMO!$J$2:$J$100, MATCH(1,
(D216&gt;=RESUMO!$H$2:$H$100)*(D216&lt;=RESUMO!$I$2:$I$100)*(H216&gt;=RESUMO!$K$2:$K$100)*(H216&lt;=RESUMO!$L$2:$L$100),
0)), "R$ ", ""))
))))</f>
        <v>0</v>
      </c>
      <c r="K216" s="9"/>
      <c r="L216" s="10" t="e">
        <f t="shared" si="41"/>
        <v>#DIV/0!</v>
      </c>
      <c r="M216" s="7"/>
      <c r="N216" s="48"/>
      <c r="O216" s="78" cm="1">
        <f t="array" ref="O216">IF(M216&lt;12.5, 0,
IF(M216&lt;29, 6.25,
IF(M216&lt;50, 6.5,
IF(M216&lt;79, 6.75,
VALUE(SUBSTITUTE(
INDEX(RESUMO!$J$2:$J$100, MATCH(1,
(D216&gt;=RESUMO!$H$2:$H$100)*(D216&lt;=RESUMO!$I$2:$I$100)*(M216&gt;=RESUMO!$K$2:$K$100)*(M216&lt;=RESUMO!$L$2:$L$100),
0)), "R$ ", ""))
))))</f>
        <v>0</v>
      </c>
      <c r="P216" s="9"/>
      <c r="Q216" s="10" t="e">
        <f t="shared" si="42"/>
        <v>#DIV/0!</v>
      </c>
      <c r="R216" s="5">
        <f t="shared" si="43"/>
        <v>0</v>
      </c>
      <c r="S216" s="5">
        <f t="shared" si="44"/>
        <v>0</v>
      </c>
      <c r="T216" s="5">
        <f t="shared" si="45"/>
        <v>0</v>
      </c>
      <c r="U216" s="5">
        <f t="shared" si="46"/>
        <v>0</v>
      </c>
    </row>
    <row r="217" spans="1:21" x14ac:dyDescent="0.25">
      <c r="A217" s="11"/>
      <c r="B217" s="6" t="s">
        <v>280</v>
      </c>
      <c r="C217" s="9"/>
      <c r="D217" s="6"/>
      <c r="E217" s="8"/>
      <c r="F217" s="49"/>
      <c r="G217" s="9"/>
      <c r="H217" s="9"/>
      <c r="I217" s="48"/>
      <c r="J217" s="78" cm="1">
        <f t="array" ref="J217">IF(H217&lt;12.5, H217/2,
IF(H217&lt;29, 6.25,
IF(H217&lt;50, 6.5,
IF(H217&lt;79, 6.75,
VALUE(SUBSTITUTE(
INDEX(RESUMO!$J$2:$J$100, MATCH(1,
(D217&gt;=RESUMO!$H$2:$H$100)*(D217&lt;=RESUMO!$I$2:$I$100)*(H217&gt;=RESUMO!$K$2:$K$100)*(H217&lt;=RESUMO!$L$2:$L$100),
0)), "R$ ", ""))
))))</f>
        <v>0</v>
      </c>
      <c r="K217" s="9"/>
      <c r="L217" s="10" t="e">
        <f t="shared" si="41"/>
        <v>#DIV/0!</v>
      </c>
      <c r="M217" s="7"/>
      <c r="N217" s="48"/>
      <c r="O217" s="78" cm="1">
        <f t="array" ref="O217">IF(M217&lt;12.5, 0,
IF(M217&lt;29, 6.25,
IF(M217&lt;50, 6.5,
IF(M217&lt;79, 6.75,
VALUE(SUBSTITUTE(
INDEX(RESUMO!$J$2:$J$100, MATCH(1,
(D217&gt;=RESUMO!$H$2:$H$100)*(D217&lt;=RESUMO!$I$2:$I$100)*(M217&gt;=RESUMO!$K$2:$K$100)*(M217&lt;=RESUMO!$L$2:$L$100),
0)), "R$ ", ""))
))))</f>
        <v>0</v>
      </c>
      <c r="P217" s="9"/>
      <c r="Q217" s="10" t="e">
        <f t="shared" si="42"/>
        <v>#DIV/0!</v>
      </c>
      <c r="R217" s="5">
        <f t="shared" si="43"/>
        <v>0</v>
      </c>
      <c r="S217" s="5">
        <f t="shared" si="44"/>
        <v>0</v>
      </c>
      <c r="T217" s="5">
        <f t="shared" si="45"/>
        <v>0</v>
      </c>
      <c r="U217" s="5">
        <f t="shared" si="46"/>
        <v>0</v>
      </c>
    </row>
    <row r="218" spans="1:21" x14ac:dyDescent="0.25">
      <c r="A218" s="11"/>
      <c r="B218" s="6" t="s">
        <v>281</v>
      </c>
      <c r="C218" s="9"/>
      <c r="D218" s="6"/>
      <c r="E218" s="8"/>
      <c r="F218" s="49"/>
      <c r="G218" s="9"/>
      <c r="H218" s="9"/>
      <c r="I218" s="48"/>
      <c r="J218" s="78" cm="1">
        <f t="array" ref="J218">IF(H218&lt;12.5, H218/2,
IF(H218&lt;29, 6.25,
IF(H218&lt;50, 6.5,
IF(H218&lt;79, 6.75,
VALUE(SUBSTITUTE(
INDEX(RESUMO!$J$2:$J$100, MATCH(1,
(D218&gt;=RESUMO!$H$2:$H$100)*(D218&lt;=RESUMO!$I$2:$I$100)*(H218&gt;=RESUMO!$K$2:$K$100)*(H218&lt;=RESUMO!$L$2:$L$100),
0)), "R$ ", ""))
))))</f>
        <v>0</v>
      </c>
      <c r="K218" s="9"/>
      <c r="L218" s="10" t="e">
        <f t="shared" si="41"/>
        <v>#DIV/0!</v>
      </c>
      <c r="M218" s="7"/>
      <c r="N218" s="48"/>
      <c r="O218" s="78" cm="1">
        <f t="array" ref="O218">IF(M218&lt;12.5, 0,
IF(M218&lt;29, 6.25,
IF(M218&lt;50, 6.5,
IF(M218&lt;79, 6.75,
VALUE(SUBSTITUTE(
INDEX(RESUMO!$J$2:$J$100, MATCH(1,
(D218&gt;=RESUMO!$H$2:$H$100)*(D218&lt;=RESUMO!$I$2:$I$100)*(M218&gt;=RESUMO!$K$2:$K$100)*(M218&lt;=RESUMO!$L$2:$L$100),
0)), "R$ ", ""))
))))</f>
        <v>0</v>
      </c>
      <c r="P218" s="9"/>
      <c r="Q218" s="10" t="e">
        <f t="shared" si="42"/>
        <v>#DIV/0!</v>
      </c>
      <c r="R218" s="5">
        <f t="shared" si="43"/>
        <v>0</v>
      </c>
      <c r="S218" s="5">
        <f t="shared" si="44"/>
        <v>0</v>
      </c>
      <c r="T218" s="5">
        <f t="shared" si="45"/>
        <v>0</v>
      </c>
      <c r="U218" s="5">
        <f t="shared" si="46"/>
        <v>0</v>
      </c>
    </row>
    <row r="219" spans="1:21" x14ac:dyDescent="0.25">
      <c r="A219" s="11"/>
      <c r="B219" s="6" t="s">
        <v>282</v>
      </c>
      <c r="C219" s="9"/>
      <c r="D219" s="6"/>
      <c r="E219" s="8"/>
      <c r="F219" s="49"/>
      <c r="G219" s="9"/>
      <c r="H219" s="9"/>
      <c r="I219" s="48"/>
      <c r="J219" s="78" cm="1">
        <f t="array" ref="J219">IF(H219&lt;12.5, H219/2,
IF(H219&lt;29, 6.25,
IF(H219&lt;50, 6.5,
IF(H219&lt;79, 6.75,
VALUE(SUBSTITUTE(
INDEX(RESUMO!$J$2:$J$100, MATCH(1,
(D219&gt;=RESUMO!$H$2:$H$100)*(D219&lt;=RESUMO!$I$2:$I$100)*(H219&gt;=RESUMO!$K$2:$K$100)*(H219&lt;=RESUMO!$L$2:$L$100),
0)), "R$ ", ""))
))))</f>
        <v>0</v>
      </c>
      <c r="K219" s="9"/>
      <c r="L219" s="10" t="e">
        <f t="shared" si="41"/>
        <v>#DIV/0!</v>
      </c>
      <c r="M219" s="7"/>
      <c r="N219" s="48"/>
      <c r="O219" s="78" cm="1">
        <f t="array" ref="O219">IF(M219&lt;12.5, 0,
IF(M219&lt;29, 6.25,
IF(M219&lt;50, 6.5,
IF(M219&lt;79, 6.75,
VALUE(SUBSTITUTE(
INDEX(RESUMO!$J$2:$J$100, MATCH(1,
(D219&gt;=RESUMO!$H$2:$H$100)*(D219&lt;=RESUMO!$I$2:$I$100)*(M219&gt;=RESUMO!$K$2:$K$100)*(M219&lt;=RESUMO!$L$2:$L$100),
0)), "R$ ", ""))
))))</f>
        <v>0</v>
      </c>
      <c r="P219" s="9"/>
      <c r="Q219" s="10" t="e">
        <f t="shared" si="42"/>
        <v>#DIV/0!</v>
      </c>
      <c r="R219" s="5">
        <f t="shared" si="43"/>
        <v>0</v>
      </c>
      <c r="S219" s="5">
        <f t="shared" si="44"/>
        <v>0</v>
      </c>
      <c r="T219" s="5">
        <f t="shared" si="45"/>
        <v>0</v>
      </c>
      <c r="U219" s="5">
        <f t="shared" si="46"/>
        <v>0</v>
      </c>
    </row>
    <row r="220" spans="1:21" x14ac:dyDescent="0.25">
      <c r="A220" s="11" t="s">
        <v>7</v>
      </c>
      <c r="B220" s="6" t="s">
        <v>283</v>
      </c>
      <c r="C220" s="9">
        <v>1089</v>
      </c>
      <c r="D220" s="6">
        <v>125</v>
      </c>
      <c r="E220" s="8">
        <v>0.04</v>
      </c>
      <c r="F220" s="49">
        <v>0</v>
      </c>
      <c r="G220" s="9">
        <v>2</v>
      </c>
      <c r="H220" s="9">
        <v>1419</v>
      </c>
      <c r="I220" s="48">
        <v>0.11</v>
      </c>
      <c r="J220" s="78" cm="1">
        <f t="array" ref="J220">IF(H220&lt;12.5, H220/2,
IF(H220&lt;29, 6.25,
IF(H220&lt;50, 6.5,
IF(H220&lt;79, 6.75,
VALUE(SUBSTITUTE(
INDEX(RESUMO!$J$2:$J$100, MATCH(1,
(D220&gt;=RESUMO!$H$2:$H$100)*(D220&lt;=RESUMO!$I$2:$I$100)*(H220&gt;=RESUMO!$K$2:$K$100)*(H220&lt;=RESUMO!$L$2:$L$100),
0)), "R$ ", ""))
))))</f>
        <v>168.67</v>
      </c>
      <c r="K220" s="9">
        <v>56</v>
      </c>
      <c r="L220" s="10">
        <f t="shared" si="41"/>
        <v>1.2459478505990178E-2</v>
      </c>
      <c r="M220" s="7"/>
      <c r="N220" s="48"/>
      <c r="O220" s="78" cm="1">
        <f t="array" ref="O220">IF(M220&lt;12.5, 0,
IF(M220&lt;29, 6.25,
IF(M220&lt;50, 6.5,
IF(M220&lt;79, 6.75,
VALUE(SUBSTITUTE(
INDEX(RESUMO!$J$2:$J$100, MATCH(1,
(D220&gt;=RESUMO!$H$2:$H$100)*(D220&lt;=RESUMO!$I$2:$I$100)*(M220&gt;=RESUMO!$K$2:$K$100)*(M220&lt;=RESUMO!$L$2:$L$100),
0)), "R$ ", ""))
))))</f>
        <v>0</v>
      </c>
      <c r="P220" s="9"/>
      <c r="Q220" s="10" t="e">
        <f t="shared" si="42"/>
        <v>#DIV/0!</v>
      </c>
      <c r="R220" s="5">
        <f t="shared" si="43"/>
        <v>1106.68</v>
      </c>
      <c r="S220" s="5">
        <f t="shared" si="44"/>
        <v>17.680000000000064</v>
      </c>
      <c r="T220" s="5">
        <f t="shared" si="45"/>
        <v>-43.56</v>
      </c>
      <c r="U220" s="5">
        <f t="shared" si="46"/>
        <v>-1132.56</v>
      </c>
    </row>
    <row r="221" spans="1:21" x14ac:dyDescent="0.25">
      <c r="A221" s="11" t="s">
        <v>7</v>
      </c>
      <c r="B221" s="6" t="s">
        <v>284</v>
      </c>
      <c r="C221" s="9">
        <v>969</v>
      </c>
      <c r="D221" s="6">
        <v>100</v>
      </c>
      <c r="E221" s="8">
        <v>0.04</v>
      </c>
      <c r="F221" s="49">
        <v>0</v>
      </c>
      <c r="G221" s="9">
        <v>2</v>
      </c>
      <c r="H221" s="9">
        <v>1319</v>
      </c>
      <c r="I221" s="48">
        <v>0.11</v>
      </c>
      <c r="J221" s="78" cm="1">
        <f t="array" ref="J221">IF(H221&lt;12.5, H221/2,
IF(H221&lt;29, 6.25,
IF(H221&lt;50, 6.5,
IF(H221&lt;79, 6.75,
VALUE(SUBSTITUTE(
INDEX(RESUMO!$J$2:$J$100, MATCH(1,
(D221&gt;=RESUMO!$H$2:$H$100)*(D221&lt;=RESUMO!$I$2:$I$100)*(H221&gt;=RESUMO!$K$2:$K$100)*(H221&lt;=RESUMO!$L$2:$L$100),
0)), "R$ ", ""))
))))</f>
        <v>159.94999999999999</v>
      </c>
      <c r="K221" s="9">
        <v>0</v>
      </c>
      <c r="L221" s="10">
        <f t="shared" ref="L221:L282" si="48">S221/H221</f>
        <v>4.7005307050796401E-3</v>
      </c>
      <c r="M221" s="7"/>
      <c r="N221" s="48"/>
      <c r="O221" s="78" cm="1">
        <f t="array" ref="O221">IF(M221&lt;12.5, 0,
IF(M221&lt;29, 6.25,
IF(M221&lt;50, 6.5,
IF(M221&lt;79, 6.75,
VALUE(SUBSTITUTE(
INDEX(RESUMO!$J$2:$J$100, MATCH(1,
(D221&gt;=RESUMO!$H$2:$H$100)*(D221&lt;=RESUMO!$I$2:$I$100)*(M221&gt;=RESUMO!$K$2:$K$100)*(M221&lt;=RESUMO!$L$2:$L$100),
0)), "R$ ", ""))
))))</f>
        <v>0</v>
      </c>
      <c r="P221" s="9"/>
      <c r="Q221" s="10" t="e">
        <f t="shared" si="42"/>
        <v>#DIV/0!</v>
      </c>
      <c r="R221" s="5">
        <f t="shared" si="43"/>
        <v>975.2</v>
      </c>
      <c r="S221" s="5">
        <f t="shared" si="44"/>
        <v>6.2000000000000455</v>
      </c>
      <c r="T221" s="5">
        <f t="shared" si="45"/>
        <v>-38.76</v>
      </c>
      <c r="U221" s="5">
        <f t="shared" si="46"/>
        <v>-1007.76</v>
      </c>
    </row>
    <row r="222" spans="1:21" x14ac:dyDescent="0.25">
      <c r="A222" s="11" t="s">
        <v>7</v>
      </c>
      <c r="B222" s="61" t="s">
        <v>285</v>
      </c>
      <c r="C222" s="9">
        <v>118.36</v>
      </c>
      <c r="D222" s="6">
        <v>5</v>
      </c>
      <c r="E222" s="8">
        <v>0.04</v>
      </c>
      <c r="F222" s="49">
        <v>0</v>
      </c>
      <c r="G222" s="9"/>
      <c r="H222" s="9">
        <v>149.9</v>
      </c>
      <c r="I222" s="48">
        <v>0.11</v>
      </c>
      <c r="J222" s="78" cm="1">
        <f t="array" ref="J222">IF(H222&lt;12.5, H222/2,
IF(H222&lt;29, 6.25,
IF(H222&lt;50, 6.5,
IF(H222&lt;79, 6.75,
VALUE(SUBSTITUTE(
INDEX(RESUMO!$J$2:$J$100, MATCH(1,
(D222&gt;=RESUMO!$H$2:$H$100)*(D222&lt;=RESUMO!$I$2:$I$100)*(H222&gt;=RESUMO!$K$2:$K$100)*(H222&lt;=RESUMO!$L$2:$L$100),
0)), "R$ ", ""))
))))</f>
        <v>22.76</v>
      </c>
      <c r="K222" s="9">
        <v>0</v>
      </c>
      <c r="L222" s="10">
        <f t="shared" si="48"/>
        <v>-8.3011340893929267E-2</v>
      </c>
      <c r="M222" s="7"/>
      <c r="N222" s="48"/>
      <c r="O222" s="78" cm="1">
        <f t="array" ref="O222">IF(M222&lt;12.5, 0,
IF(M222&lt;29, 6.25,
IF(M222&lt;50, 6.5,
IF(M222&lt;79, 6.75,
VALUE(SUBSTITUTE(
INDEX(RESUMO!$J$2:$J$100, MATCH(1,
(D222&gt;=RESUMO!$H$2:$H$100)*(D222&lt;=RESUMO!$I$2:$I$100)*(M222&gt;=RESUMO!$K$2:$K$100)*(M222&lt;=RESUMO!$L$2:$L$100),
0)), "R$ ", ""))
))))</f>
        <v>0</v>
      </c>
      <c r="P222" s="9"/>
      <c r="Q222" s="10" t="e">
        <f t="shared" si="42"/>
        <v>#DIV/0!</v>
      </c>
      <c r="R222" s="5">
        <f t="shared" si="43"/>
        <v>105.9166</v>
      </c>
      <c r="S222" s="5">
        <f t="shared" si="44"/>
        <v>-12.443399999999997</v>
      </c>
      <c r="T222" s="5">
        <f t="shared" si="45"/>
        <v>-4.7343999999999999</v>
      </c>
      <c r="U222" s="5">
        <f t="shared" si="46"/>
        <v>-123.09439999999999</v>
      </c>
    </row>
    <row r="223" spans="1:21" x14ac:dyDescent="0.25">
      <c r="A223" s="11" t="s">
        <v>7</v>
      </c>
      <c r="B223" s="6" t="s">
        <v>286</v>
      </c>
      <c r="C223" s="9">
        <v>172.37</v>
      </c>
      <c r="D223" s="6">
        <v>3</v>
      </c>
      <c r="E223" s="8">
        <v>0.04</v>
      </c>
      <c r="F223" s="49">
        <v>0</v>
      </c>
      <c r="G223" s="9"/>
      <c r="H223" s="9">
        <v>215</v>
      </c>
      <c r="I223" s="48">
        <v>0.11</v>
      </c>
      <c r="J223" s="78" cm="1">
        <f t="array" ref="J223">IF(H223&lt;12.5, H223/2,
IF(H223&lt;29, 6.25,
IF(H223&lt;50, 6.5,
IF(H223&lt;79, 6.75,
VALUE(SUBSTITUTE(
INDEX(RESUMO!$J$2:$J$100, MATCH(1,
(D223&gt;=RESUMO!$H$2:$H$100)*(D223&lt;=RESUMO!$I$2:$I$100)*(H223&gt;=RESUMO!$K$2:$K$100)*(H223&lt;=RESUMO!$L$2:$L$100),
0)), "R$ ", ""))
))))</f>
        <v>24.95</v>
      </c>
      <c r="K223" s="9">
        <v>0</v>
      </c>
      <c r="L223" s="10">
        <f t="shared" si="48"/>
        <v>-5.9836279069767455E-2</v>
      </c>
      <c r="M223" s="7"/>
      <c r="N223" s="48"/>
      <c r="O223" s="78" cm="1">
        <f t="array" ref="O223">IF(M223&lt;12.5, 0,
IF(M223&lt;29, 6.25,
IF(M223&lt;50, 6.5,
IF(M223&lt;79, 6.75,
VALUE(SUBSTITUTE(
INDEX(RESUMO!$J$2:$J$100, MATCH(1,
(D223&gt;=RESUMO!$H$2:$H$100)*(D223&lt;=RESUMO!$I$2:$I$100)*(M223&gt;=RESUMO!$K$2:$K$100)*(M223&lt;=RESUMO!$L$2:$L$100),
0)), "R$ ", ""))
))))</f>
        <v>0</v>
      </c>
      <c r="P223" s="9"/>
      <c r="Q223" s="10" t="e">
        <f t="shared" si="42"/>
        <v>#DIV/0!</v>
      </c>
      <c r="R223" s="5">
        <f t="shared" si="43"/>
        <v>159.5052</v>
      </c>
      <c r="S223" s="5">
        <f t="shared" si="44"/>
        <v>-12.864800000000002</v>
      </c>
      <c r="T223" s="5">
        <f t="shared" si="45"/>
        <v>-6.8948</v>
      </c>
      <c r="U223" s="5">
        <f t="shared" si="46"/>
        <v>-179.26480000000001</v>
      </c>
    </row>
    <row r="224" spans="1:21" x14ac:dyDescent="0.25">
      <c r="A224" s="11" t="s">
        <v>7</v>
      </c>
      <c r="B224" s="6" t="s">
        <v>287</v>
      </c>
      <c r="C224" s="9">
        <v>109.82</v>
      </c>
      <c r="D224" s="6">
        <v>3</v>
      </c>
      <c r="E224" s="8">
        <v>0.04</v>
      </c>
      <c r="F224" s="49">
        <v>0</v>
      </c>
      <c r="G224" s="9"/>
      <c r="H224" s="9">
        <v>125</v>
      </c>
      <c r="I224" s="48">
        <v>0.11</v>
      </c>
      <c r="J224" s="78" cm="1">
        <f t="array" ref="J224">IF(H224&lt;12.5, H224/2,
IF(H224&lt;29, 6.25,
IF(H224&lt;50, 6.5,
IF(H224&lt;79, 6.75,
VALUE(SUBSTITUTE(
INDEX(RESUMO!$J$2:$J$100, MATCH(1,
(D224&gt;=RESUMO!$H$2:$H$100)*(D224&lt;=RESUMO!$I$2:$I$100)*(H224&gt;=RESUMO!$K$2:$K$100)*(H224&lt;=RESUMO!$L$2:$L$100),
0)), "R$ ", ""))
))))</f>
        <v>19.96</v>
      </c>
      <c r="K224" s="9">
        <v>0</v>
      </c>
      <c r="L224" s="10">
        <f t="shared" si="48"/>
        <v>-0.18338239999999997</v>
      </c>
      <c r="M224" s="7"/>
      <c r="N224" s="48"/>
      <c r="O224" s="78" cm="1">
        <f t="array" ref="O224">IF(M224&lt;12.5, 0,
IF(M224&lt;29, 6.25,
IF(M224&lt;50, 6.5,
IF(M224&lt;79, 6.75,
VALUE(SUBSTITUTE(
INDEX(RESUMO!$J$2:$J$100, MATCH(1,
(D224&gt;=RESUMO!$H$2:$H$100)*(D224&lt;=RESUMO!$I$2:$I$100)*(M224&gt;=RESUMO!$K$2:$K$100)*(M224&lt;=RESUMO!$L$2:$L$100),
0)), "R$ ", ""))
))))</f>
        <v>0</v>
      </c>
      <c r="P224" s="9"/>
      <c r="Q224" s="10" t="e">
        <f t="shared" si="42"/>
        <v>#DIV/0!</v>
      </c>
      <c r="R224" s="5">
        <f t="shared" si="43"/>
        <v>86.897199999999998</v>
      </c>
      <c r="S224" s="5">
        <f t="shared" si="44"/>
        <v>-22.922799999999995</v>
      </c>
      <c r="T224" s="5">
        <f t="shared" si="45"/>
        <v>-4.3928000000000003</v>
      </c>
      <c r="U224" s="5">
        <f t="shared" si="46"/>
        <v>-114.21279999999999</v>
      </c>
    </row>
    <row r="225" spans="1:21" x14ac:dyDescent="0.25">
      <c r="A225" s="11"/>
      <c r="B225" s="6" t="s">
        <v>288</v>
      </c>
      <c r="C225" s="9"/>
      <c r="D225" s="6">
        <v>2</v>
      </c>
      <c r="E225" s="8">
        <v>0.04</v>
      </c>
      <c r="F225" s="49">
        <v>0</v>
      </c>
      <c r="G225" s="9">
        <v>2</v>
      </c>
      <c r="H225" s="9">
        <v>89.9</v>
      </c>
      <c r="I225" s="48">
        <v>0.11</v>
      </c>
      <c r="J225" s="78" cm="1">
        <f t="array" ref="J225">IF(H225&lt;12.5, H225/2,
IF(H225&lt;29, 6.25,
IF(H225&lt;50, 6.5,
IF(H225&lt;79, 6.75,
VALUE(SUBSTITUTE(
INDEX(RESUMO!$J$2:$J$100, MATCH(1,
(D225&gt;=RESUMO!$H$2:$H$100)*(D225&lt;=RESUMO!$I$2:$I$100)*(H225&gt;=RESUMO!$K$2:$K$100)*(H225&lt;=RESUMO!$L$2:$L$100),
0)), "R$ ", ""))
))))</f>
        <v>14.07</v>
      </c>
      <c r="K225" s="9">
        <v>0</v>
      </c>
      <c r="L225" s="10">
        <f t="shared" si="48"/>
        <v>0.73349276974416011</v>
      </c>
      <c r="M225" s="7"/>
      <c r="N225" s="48"/>
      <c r="O225" s="78" cm="1">
        <f t="array" ref="O225">IF(M225&lt;12.5, 0,
IF(M225&lt;29, 6.25,
IF(M225&lt;50, 6.5,
IF(M225&lt;79, 6.75,
VALUE(SUBSTITUTE(
INDEX(RESUMO!$J$2:$J$100, MATCH(1,
(D225&gt;=RESUMO!$H$2:$H$100)*(D225&lt;=RESUMO!$I$2:$I$100)*(M225&gt;=RESUMO!$K$2:$K$100)*(M225&lt;=RESUMO!$L$2:$L$100),
0)), "R$ ", ""))
))))</f>
        <v>0</v>
      </c>
      <c r="P225" s="9"/>
      <c r="Q225" s="10" t="e">
        <f t="shared" si="42"/>
        <v>#DIV/0!</v>
      </c>
      <c r="R225" s="5">
        <f t="shared" si="43"/>
        <v>65.941000000000003</v>
      </c>
      <c r="S225" s="5">
        <f t="shared" si="44"/>
        <v>65.941000000000003</v>
      </c>
      <c r="T225" s="5">
        <f t="shared" si="45"/>
        <v>0</v>
      </c>
      <c r="U225" s="5">
        <f t="shared" si="46"/>
        <v>0</v>
      </c>
    </row>
    <row r="226" spans="1:21" x14ac:dyDescent="0.25">
      <c r="A226" s="11"/>
      <c r="B226" s="6" t="s">
        <v>289</v>
      </c>
      <c r="C226" s="9"/>
      <c r="D226" s="6">
        <v>3</v>
      </c>
      <c r="E226" s="8">
        <v>0.04</v>
      </c>
      <c r="F226" s="49">
        <v>0</v>
      </c>
      <c r="G226" s="9"/>
      <c r="H226" s="9">
        <v>99.9</v>
      </c>
      <c r="I226" s="48">
        <v>0.11</v>
      </c>
      <c r="J226" s="78" cm="1">
        <f t="array" ref="J226">IF(H226&lt;12.5, H226/2,
IF(H226&lt;29, 6.25,
IF(H226&lt;50, 6.5,
IF(H226&lt;79, 6.75,
VALUE(SUBSTITUTE(
INDEX(RESUMO!$J$2:$J$100, MATCH(1,
(D226&gt;=RESUMO!$H$2:$H$100)*(D226&lt;=RESUMO!$I$2:$I$100)*(H226&gt;=RESUMO!$K$2:$K$100)*(H226&lt;=RESUMO!$L$2:$L$100),
0)), "R$ ", ""))
))))</f>
        <v>14.97</v>
      </c>
      <c r="K226" s="9">
        <v>0</v>
      </c>
      <c r="L226" s="10">
        <f t="shared" si="48"/>
        <v>0.74015015015015018</v>
      </c>
      <c r="M226" s="7"/>
      <c r="N226" s="48"/>
      <c r="O226" s="78" cm="1">
        <f t="array" ref="O226">IF(M226&lt;12.5, 0,
IF(M226&lt;29, 6.25,
IF(M226&lt;50, 6.5,
IF(M226&lt;79, 6.75,
VALUE(SUBSTITUTE(
INDEX(RESUMO!$J$2:$J$100, MATCH(1,
(D226&gt;=RESUMO!$H$2:$H$100)*(D226&lt;=RESUMO!$I$2:$I$100)*(M226&gt;=RESUMO!$K$2:$K$100)*(M226&lt;=RESUMO!$L$2:$L$100),
0)), "R$ ", ""))
))))</f>
        <v>0</v>
      </c>
      <c r="P226" s="9"/>
      <c r="Q226" s="10" t="e">
        <f t="shared" si="42"/>
        <v>#DIV/0!</v>
      </c>
      <c r="R226" s="5">
        <f t="shared" si="43"/>
        <v>73.941000000000003</v>
      </c>
      <c r="S226" s="5">
        <f t="shared" si="44"/>
        <v>73.941000000000003</v>
      </c>
      <c r="T226" s="5">
        <f t="shared" si="45"/>
        <v>0</v>
      </c>
      <c r="U226" s="5">
        <f t="shared" si="46"/>
        <v>0</v>
      </c>
    </row>
    <row r="227" spans="1:21" x14ac:dyDescent="0.25">
      <c r="A227" s="11" t="s">
        <v>7</v>
      </c>
      <c r="B227" s="6" t="s">
        <v>290</v>
      </c>
      <c r="C227" s="9"/>
      <c r="D227" s="6">
        <v>2</v>
      </c>
      <c r="E227" s="8">
        <v>0.04</v>
      </c>
      <c r="F227" s="49">
        <v>0</v>
      </c>
      <c r="G227" s="9"/>
      <c r="H227" s="9">
        <v>85</v>
      </c>
      <c r="I227" s="48">
        <v>0.11</v>
      </c>
      <c r="J227" s="78" cm="1">
        <f t="array" ref="J227">IF(H227&lt;12.5, H227/2,
IF(H227&lt;29, 6.25,
IF(H227&lt;50, 6.5,
IF(H227&lt;79, 6.75,
VALUE(SUBSTITUTE(
INDEX(RESUMO!$J$2:$J$100, MATCH(1,
(D227&gt;=RESUMO!$H$2:$H$100)*(D227&lt;=RESUMO!$I$2:$I$100)*(H227&gt;=RESUMO!$K$2:$K$100)*(H227&lt;=RESUMO!$L$2:$L$100),
0)), "R$ ", ""))
))))</f>
        <v>14.07</v>
      </c>
      <c r="K227" s="9">
        <v>0</v>
      </c>
      <c r="L227" s="10">
        <f t="shared" si="48"/>
        <v>0.7244705882352942</v>
      </c>
      <c r="M227" s="7"/>
      <c r="N227" s="48"/>
      <c r="O227" s="78" cm="1">
        <f t="array" ref="O227">IF(M227&lt;12.5, 0,
IF(M227&lt;29, 6.25,
IF(M227&lt;50, 6.5,
IF(M227&lt;79, 6.75,
VALUE(SUBSTITUTE(
INDEX(RESUMO!$J$2:$J$100, MATCH(1,
(D227&gt;=RESUMO!$H$2:$H$100)*(D227&lt;=RESUMO!$I$2:$I$100)*(M227&gt;=RESUMO!$K$2:$K$100)*(M227&lt;=RESUMO!$L$2:$L$100),
0)), "R$ ", ""))
))))</f>
        <v>0</v>
      </c>
      <c r="P227" s="9"/>
      <c r="Q227" s="10" t="e">
        <f t="shared" si="42"/>
        <v>#DIV/0!</v>
      </c>
      <c r="R227" s="5">
        <f t="shared" si="43"/>
        <v>61.580000000000005</v>
      </c>
      <c r="S227" s="5">
        <f t="shared" si="44"/>
        <v>61.580000000000005</v>
      </c>
      <c r="T227" s="5">
        <f t="shared" si="45"/>
        <v>0</v>
      </c>
      <c r="U227" s="5">
        <f t="shared" si="46"/>
        <v>0</v>
      </c>
    </row>
    <row r="228" spans="1:21" x14ac:dyDescent="0.25">
      <c r="A228" s="11" t="s">
        <v>7</v>
      </c>
      <c r="B228" s="6" t="s">
        <v>291</v>
      </c>
      <c r="C228" s="9"/>
      <c r="D228" s="6">
        <v>1</v>
      </c>
      <c r="E228" s="8">
        <v>0.04</v>
      </c>
      <c r="F228" s="49">
        <v>0</v>
      </c>
      <c r="G228" s="9"/>
      <c r="H228" s="9">
        <v>65</v>
      </c>
      <c r="I228" s="48">
        <v>0.11</v>
      </c>
      <c r="J228" s="78" cm="1">
        <f t="array" ref="J228">IF(H228&lt;12.5, H228/2,
IF(H228&lt;29, 6.25,
IF(H228&lt;50, 6.5,
IF(H228&lt;79, 6.75,
VALUE(SUBSTITUTE(
INDEX(RESUMO!$J$2:$J$100, MATCH(1,
(D228&gt;=RESUMO!$H$2:$H$100)*(D228&lt;=RESUMO!$I$2:$I$100)*(H228&gt;=RESUMO!$K$2:$K$100)*(H228&lt;=RESUMO!$L$2:$L$100),
0)), "R$ ", ""))
))))</f>
        <v>6.75</v>
      </c>
      <c r="K228" s="9">
        <v>0</v>
      </c>
      <c r="L228" s="10">
        <f t="shared" si="48"/>
        <v>0.7861538461538462</v>
      </c>
      <c r="M228" s="7"/>
      <c r="N228" s="48"/>
      <c r="O228" s="78" cm="1">
        <f t="array" ref="O228">IF(M228&lt;12.5, 0,
IF(M228&lt;29, 6.25,
IF(M228&lt;50, 6.5,
IF(M228&lt;79, 6.75,
VALUE(SUBSTITUTE(
INDEX(RESUMO!$J$2:$J$100, MATCH(1,
(D228&gt;=RESUMO!$H$2:$H$100)*(D228&lt;=RESUMO!$I$2:$I$100)*(M228&gt;=RESUMO!$K$2:$K$100)*(M228&lt;=RESUMO!$L$2:$L$100),
0)), "R$ ", ""))
))))</f>
        <v>0</v>
      </c>
      <c r="P228" s="9"/>
      <c r="Q228" s="10" t="e">
        <f t="shared" si="42"/>
        <v>#DIV/0!</v>
      </c>
      <c r="R228" s="5">
        <f t="shared" si="43"/>
        <v>51.1</v>
      </c>
      <c r="S228" s="5">
        <f t="shared" si="44"/>
        <v>51.1</v>
      </c>
      <c r="T228" s="5">
        <f t="shared" si="45"/>
        <v>0</v>
      </c>
      <c r="U228" s="5">
        <f t="shared" si="46"/>
        <v>0</v>
      </c>
    </row>
    <row r="229" spans="1:21" x14ac:dyDescent="0.25">
      <c r="A229" s="11"/>
      <c r="B229" s="6" t="s">
        <v>293</v>
      </c>
      <c r="C229" s="9"/>
      <c r="D229" s="6">
        <v>9</v>
      </c>
      <c r="E229" s="8">
        <v>0.04</v>
      </c>
      <c r="F229" s="49">
        <v>0</v>
      </c>
      <c r="G229" s="9"/>
      <c r="H229" s="9">
        <v>275</v>
      </c>
      <c r="I229" s="48">
        <v>0.13</v>
      </c>
      <c r="J229" s="78" cm="1">
        <f t="array" ref="J229">IF(H229&lt;12.5, H229/2,
IF(H229&lt;29, 6.25,
IF(H229&lt;50, 6.5,
IF(H229&lt;79, 6.75,
VALUE(SUBSTITUTE(
INDEX(RESUMO!$J$2:$J$100, MATCH(1,
(D229&gt;=RESUMO!$H$2:$H$100)*(D229&lt;=RESUMO!$I$2:$I$100)*(H229&gt;=RESUMO!$K$2:$K$100)*(H229&lt;=RESUMO!$L$2:$L$100),
0)), "R$ ", ""))
))))</f>
        <v>44.45</v>
      </c>
      <c r="K229" s="9">
        <v>0</v>
      </c>
      <c r="L229" s="10">
        <f t="shared" si="48"/>
        <v>0.70836363636363642</v>
      </c>
      <c r="M229" s="7"/>
      <c r="N229" s="48"/>
      <c r="O229" s="78" cm="1">
        <f t="array" ref="O229">IF(M229&lt;12.5, 0,
IF(M229&lt;29, 6.25,
IF(M229&lt;50, 6.5,
IF(M229&lt;79, 6.75,
VALUE(SUBSTITUTE(
INDEX(RESUMO!$J$2:$J$100, MATCH(1,
(D229&gt;=RESUMO!$H$2:$H$100)*(D229&lt;=RESUMO!$I$2:$I$100)*(M229&gt;=RESUMO!$K$2:$K$100)*(M229&lt;=RESUMO!$L$2:$L$100),
0)), "R$ ", ""))
))))</f>
        <v>0</v>
      </c>
      <c r="P229" s="9"/>
      <c r="Q229" s="10" t="e">
        <f t="shared" ref="Q229:Q290" si="49">U229/M229</f>
        <v>#DIV/0!</v>
      </c>
      <c r="R229" s="5">
        <f t="shared" si="43"/>
        <v>194.8</v>
      </c>
      <c r="S229" s="5">
        <f t="shared" si="44"/>
        <v>194.8</v>
      </c>
      <c r="T229" s="5">
        <f t="shared" si="45"/>
        <v>0</v>
      </c>
      <c r="U229" s="5">
        <f t="shared" si="46"/>
        <v>0</v>
      </c>
    </row>
    <row r="230" spans="1:21" x14ac:dyDescent="0.25">
      <c r="A230" s="11" t="s">
        <v>44</v>
      </c>
      <c r="B230" s="6" t="s">
        <v>194</v>
      </c>
      <c r="C230" s="9"/>
      <c r="D230" s="6">
        <v>2</v>
      </c>
      <c r="E230" s="8">
        <v>0.04</v>
      </c>
      <c r="F230" s="49">
        <v>0</v>
      </c>
      <c r="G230" s="9"/>
      <c r="H230" s="9">
        <v>185</v>
      </c>
      <c r="I230" s="48">
        <v>0.11</v>
      </c>
      <c r="J230" s="78" cm="1">
        <f t="array" ref="J230">IF(H230&lt;12.5, H230/2,
IF(H230&lt;29, 6.25,
IF(H230&lt;50, 6.5,
IF(H230&lt;79, 6.75,
VALUE(SUBSTITUTE(
INDEX(RESUMO!$J$2:$J$100, MATCH(1,
(D230&gt;=RESUMO!$H$2:$H$100)*(D230&lt;=RESUMO!$I$2:$I$100)*(H230&gt;=RESUMO!$K$2:$K$100)*(H230&lt;=RESUMO!$L$2:$L$100),
0)), "R$ ", ""))
))))</f>
        <v>21.1</v>
      </c>
      <c r="K230" s="78">
        <v>0</v>
      </c>
      <c r="L230" s="10">
        <f>S230/H230</f>
        <v>0.77594594594594601</v>
      </c>
      <c r="M230" s="7"/>
      <c r="N230" s="48"/>
      <c r="O230" s="78" cm="1">
        <f t="array" ref="O230">IF(M230&lt;12.5, 0,
IF(M230&lt;29, 6.25,
IF(M230&lt;50, 6.5,
IF(M230&lt;79, 6.75,
VALUE(SUBSTITUTE(
INDEX(RESUMO!$J$2:$J$100, MATCH(1,
(D230&gt;=RESUMO!$H$2:$H$100)*(D230&lt;=RESUMO!$I$2:$I$100)*(M230&gt;=RESUMO!$K$2:$K$100)*(M230&lt;=RESUMO!$L$2:$L$100),
0)), "R$ ", ""))
))))</f>
        <v>0</v>
      </c>
      <c r="P230" s="9"/>
      <c r="Q230" s="10" t="e">
        <f>U230/M230</f>
        <v>#DIV/0!</v>
      </c>
      <c r="R230" s="5">
        <f>(H230-(H230*I230)-J230-(C230*E230)+K230)</f>
        <v>143.55000000000001</v>
      </c>
      <c r="S230" s="5">
        <f>R230-(C230-F230)</f>
        <v>143.55000000000001</v>
      </c>
      <c r="T230" s="5">
        <f>(M230-(M230*N230)-O230-(C230*E230)+P230)</f>
        <v>0</v>
      </c>
      <c r="U230" s="5">
        <f>T230-(C230-F230)</f>
        <v>0</v>
      </c>
    </row>
    <row r="231" spans="1:21" x14ac:dyDescent="0.25">
      <c r="A231" s="11"/>
      <c r="B231" s="6" t="s">
        <v>294</v>
      </c>
      <c r="C231" s="9"/>
      <c r="D231" s="6">
        <v>2</v>
      </c>
      <c r="E231" s="8">
        <v>0.04</v>
      </c>
      <c r="F231" s="49">
        <v>0</v>
      </c>
      <c r="G231" s="9"/>
      <c r="H231" s="9">
        <v>135</v>
      </c>
      <c r="I231" s="48">
        <v>0.11</v>
      </c>
      <c r="J231" s="78" cm="1">
        <f t="array" ref="J231">IF(H231&lt;12.5, H231/2,
IF(H231&lt;29, 6.25,
IF(H231&lt;50, 6.5,
IF(H231&lt;79, 6.75,
VALUE(SUBSTITUTE(
INDEX(RESUMO!$J$2:$J$100, MATCH(1,
(D231&gt;=RESUMO!$H$2:$H$100)*(D231&lt;=RESUMO!$I$2:$I$100)*(H231&gt;=RESUMO!$K$2:$K$100)*(H231&lt;=RESUMO!$L$2:$L$100),
0)), "R$ ", ""))
))))</f>
        <v>18.760000000000002</v>
      </c>
      <c r="K231" s="9">
        <v>0</v>
      </c>
      <c r="L231" s="10">
        <f t="shared" si="48"/>
        <v>0.75103703703703706</v>
      </c>
      <c r="M231" s="7"/>
      <c r="N231" s="48"/>
      <c r="O231" s="78" cm="1">
        <f t="array" ref="O231">IF(M231&lt;12.5, 0,
IF(M231&lt;29, 6.25,
IF(M231&lt;50, 6.5,
IF(M231&lt;79, 6.75,
VALUE(SUBSTITUTE(
INDEX(RESUMO!$J$2:$J$100, MATCH(1,
(D231&gt;=RESUMO!$H$2:$H$100)*(D231&lt;=RESUMO!$I$2:$I$100)*(M231&gt;=RESUMO!$K$2:$K$100)*(M231&lt;=RESUMO!$L$2:$L$100),
0)), "R$ ", ""))
))))</f>
        <v>0</v>
      </c>
      <c r="P231" s="9"/>
      <c r="Q231" s="10" t="e">
        <f t="shared" si="49"/>
        <v>#DIV/0!</v>
      </c>
      <c r="R231" s="5">
        <f t="shared" si="43"/>
        <v>101.39</v>
      </c>
      <c r="S231" s="5">
        <f t="shared" si="44"/>
        <v>101.39</v>
      </c>
      <c r="T231" s="5">
        <f t="shared" si="45"/>
        <v>0</v>
      </c>
      <c r="U231" s="5">
        <f t="shared" si="46"/>
        <v>0</v>
      </c>
    </row>
    <row r="232" spans="1:21" x14ac:dyDescent="0.25">
      <c r="A232" s="11"/>
      <c r="B232" s="6" t="s">
        <v>295</v>
      </c>
      <c r="C232" s="9"/>
      <c r="D232" s="6">
        <v>3</v>
      </c>
      <c r="E232" s="8">
        <v>0.04</v>
      </c>
      <c r="F232" s="49">
        <v>0</v>
      </c>
      <c r="G232" s="9"/>
      <c r="H232" s="9">
        <v>199</v>
      </c>
      <c r="I232" s="48">
        <v>0.11</v>
      </c>
      <c r="J232" s="78" cm="1">
        <f t="array" ref="J232">IF(H232&lt;12.5, H232/2,
IF(H232&lt;29, 6.25,
IF(H232&lt;50, 6.5,
IF(H232&lt;79, 6.75,
VALUE(SUBSTITUTE(
INDEX(RESUMO!$J$2:$J$100, MATCH(1,
(D232&gt;=RESUMO!$H$2:$H$100)*(D232&lt;=RESUMO!$I$2:$I$100)*(H232&gt;=RESUMO!$K$2:$K$100)*(H232&lt;=RESUMO!$L$2:$L$100),
0)), "R$ ", ""))
))))</f>
        <v>22.45</v>
      </c>
      <c r="K232" s="9">
        <v>0</v>
      </c>
      <c r="L232" s="10">
        <f t="shared" si="48"/>
        <v>0.77718592964824129</v>
      </c>
      <c r="M232" s="7"/>
      <c r="N232" s="48"/>
      <c r="O232" s="78" cm="1">
        <f t="array" ref="O232">IF(M232&lt;12.5, 0,
IF(M232&lt;29, 6.25,
IF(M232&lt;50, 6.5,
IF(M232&lt;79, 6.75,
VALUE(SUBSTITUTE(
INDEX(RESUMO!$J$2:$J$100, MATCH(1,
(D232&gt;=RESUMO!$H$2:$H$100)*(D232&lt;=RESUMO!$I$2:$I$100)*(M232&gt;=RESUMO!$K$2:$K$100)*(M232&lt;=RESUMO!$L$2:$L$100),
0)), "R$ ", ""))
))))</f>
        <v>0</v>
      </c>
      <c r="P232" s="9"/>
      <c r="Q232" s="10" t="e">
        <f t="shared" si="49"/>
        <v>#DIV/0!</v>
      </c>
      <c r="R232" s="5">
        <f t="shared" si="43"/>
        <v>154.66000000000003</v>
      </c>
      <c r="S232" s="5">
        <f t="shared" si="44"/>
        <v>154.66000000000003</v>
      </c>
      <c r="T232" s="5">
        <f t="shared" si="45"/>
        <v>0</v>
      </c>
      <c r="U232" s="5">
        <f t="shared" si="46"/>
        <v>0</v>
      </c>
    </row>
    <row r="233" spans="1:21" x14ac:dyDescent="0.25">
      <c r="A233" s="11"/>
      <c r="B233" s="6" t="s">
        <v>296</v>
      </c>
      <c r="C233" s="9"/>
      <c r="D233" s="6">
        <v>2</v>
      </c>
      <c r="E233" s="8">
        <v>0.04</v>
      </c>
      <c r="F233" s="49">
        <v>0</v>
      </c>
      <c r="G233" s="9"/>
      <c r="H233" s="9">
        <v>145</v>
      </c>
      <c r="I233" s="48">
        <v>0.11</v>
      </c>
      <c r="J233" s="78" cm="1">
        <f t="array" ref="J233">IF(H233&lt;12.5, H233/2,
IF(H233&lt;29, 6.25,
IF(H233&lt;50, 6.5,
IF(H233&lt;79, 6.75,
VALUE(SUBSTITUTE(
INDEX(RESUMO!$J$2:$J$100, MATCH(1,
(D233&gt;=RESUMO!$H$2:$H$100)*(D233&lt;=RESUMO!$I$2:$I$100)*(H233&gt;=RESUMO!$K$2:$K$100)*(H233&lt;=RESUMO!$L$2:$L$100),
0)), "R$ ", ""))
))))</f>
        <v>18.760000000000002</v>
      </c>
      <c r="K233" s="9">
        <v>0</v>
      </c>
      <c r="L233" s="10">
        <f t="shared" si="48"/>
        <v>0.76062068965517249</v>
      </c>
      <c r="M233" s="7"/>
      <c r="N233" s="48"/>
      <c r="O233" s="78" cm="1">
        <f t="array" ref="O233">IF(M233&lt;12.5, 0,
IF(M233&lt;29, 6.25,
IF(M233&lt;50, 6.5,
IF(M233&lt;79, 6.75,
VALUE(SUBSTITUTE(
INDEX(RESUMO!$J$2:$J$100, MATCH(1,
(D233&gt;=RESUMO!$H$2:$H$100)*(D233&lt;=RESUMO!$I$2:$I$100)*(M233&gt;=RESUMO!$K$2:$K$100)*(M233&lt;=RESUMO!$L$2:$L$100),
0)), "R$ ", ""))
))))</f>
        <v>0</v>
      </c>
      <c r="P233" s="9"/>
      <c r="Q233" s="10" t="e">
        <f t="shared" si="49"/>
        <v>#DIV/0!</v>
      </c>
      <c r="R233" s="5">
        <f t="shared" si="43"/>
        <v>110.29</v>
      </c>
      <c r="S233" s="5">
        <f t="shared" si="44"/>
        <v>110.29</v>
      </c>
      <c r="T233" s="5">
        <f t="shared" si="45"/>
        <v>0</v>
      </c>
      <c r="U233" s="5">
        <f t="shared" si="46"/>
        <v>0</v>
      </c>
    </row>
    <row r="234" spans="1:21" x14ac:dyDescent="0.25">
      <c r="A234" s="11"/>
      <c r="B234" s="6" t="s">
        <v>297</v>
      </c>
      <c r="C234" s="9"/>
      <c r="D234" s="6">
        <v>1</v>
      </c>
      <c r="E234" s="8">
        <v>0.04</v>
      </c>
      <c r="F234" s="49">
        <v>0</v>
      </c>
      <c r="G234" s="9">
        <v>2</v>
      </c>
      <c r="H234" s="9">
        <v>65</v>
      </c>
      <c r="I234" s="48">
        <v>0.12</v>
      </c>
      <c r="J234" s="78" cm="1">
        <f t="array" ref="J234">IF(H234&lt;12.5, H234/2,
IF(H234&lt;29, 6.25,
IF(H234&lt;50, 6.5,
IF(H234&lt;79, 6.75,
VALUE(SUBSTITUTE(
INDEX(RESUMO!$J$2:$J$100, MATCH(1,
(D234&gt;=RESUMO!$H$2:$H$100)*(D234&lt;=RESUMO!$I$2:$I$100)*(H234&gt;=RESUMO!$K$2:$K$100)*(H234&lt;=RESUMO!$L$2:$L$100),
0)), "R$ ", ""))
))))</f>
        <v>6.75</v>
      </c>
      <c r="K234" s="9">
        <v>0</v>
      </c>
      <c r="L234" s="10">
        <f t="shared" si="48"/>
        <v>0.77615384615384619</v>
      </c>
      <c r="M234" s="7"/>
      <c r="N234" s="48"/>
      <c r="O234" s="78" cm="1">
        <f t="array" ref="O234">IF(M234&lt;12.5, 0,
IF(M234&lt;29, 6.25,
IF(M234&lt;50, 6.5,
IF(M234&lt;79, 6.75,
VALUE(SUBSTITUTE(
INDEX(RESUMO!$J$2:$J$100, MATCH(1,
(D234&gt;=RESUMO!$H$2:$H$100)*(D234&lt;=RESUMO!$I$2:$I$100)*(M234&gt;=RESUMO!$K$2:$K$100)*(M234&lt;=RESUMO!$L$2:$L$100),
0)), "R$ ", ""))
))))</f>
        <v>0</v>
      </c>
      <c r="P234" s="9"/>
      <c r="Q234" s="10" t="e">
        <f t="shared" si="49"/>
        <v>#DIV/0!</v>
      </c>
      <c r="R234" s="5">
        <f t="shared" si="43"/>
        <v>50.45</v>
      </c>
      <c r="S234" s="5">
        <f t="shared" si="44"/>
        <v>50.45</v>
      </c>
      <c r="T234" s="5">
        <f t="shared" si="45"/>
        <v>0</v>
      </c>
      <c r="U234" s="5">
        <f t="shared" si="46"/>
        <v>0</v>
      </c>
    </row>
    <row r="235" spans="1:21" x14ac:dyDescent="0.25">
      <c r="A235" s="11"/>
      <c r="B235" s="6" t="s">
        <v>298</v>
      </c>
      <c r="C235" s="9"/>
      <c r="D235" s="6">
        <v>1</v>
      </c>
      <c r="E235" s="8">
        <v>0.04</v>
      </c>
      <c r="F235" s="49">
        <v>0</v>
      </c>
      <c r="G235" s="9"/>
      <c r="H235" s="9">
        <v>65</v>
      </c>
      <c r="I235" s="48">
        <v>0.12</v>
      </c>
      <c r="J235" s="78" cm="1">
        <f t="array" ref="J235">IF(H235&lt;12.5, H235/2,
IF(H235&lt;29, 6.25,
IF(H235&lt;50, 6.5,
IF(H235&lt;79, 6.75,
VALUE(SUBSTITUTE(
INDEX(RESUMO!$J$2:$J$100, MATCH(1,
(D235&gt;=RESUMO!$H$2:$H$100)*(D235&lt;=RESUMO!$I$2:$I$100)*(H235&gt;=RESUMO!$K$2:$K$100)*(H235&lt;=RESUMO!$L$2:$L$100),
0)), "R$ ", ""))
))))</f>
        <v>6.75</v>
      </c>
      <c r="K235" s="9">
        <v>0</v>
      </c>
      <c r="L235" s="10">
        <f t="shared" si="48"/>
        <v>0.77615384615384619</v>
      </c>
      <c r="M235" s="7"/>
      <c r="N235" s="48"/>
      <c r="O235" s="78" cm="1">
        <f t="array" ref="O235">IF(M235&lt;12.5, 0,
IF(M235&lt;29, 6.25,
IF(M235&lt;50, 6.5,
IF(M235&lt;79, 6.75,
VALUE(SUBSTITUTE(
INDEX(RESUMO!$J$2:$J$100, MATCH(1,
(D235&gt;=RESUMO!$H$2:$H$100)*(D235&lt;=RESUMO!$I$2:$I$100)*(M235&gt;=RESUMO!$K$2:$K$100)*(M235&lt;=RESUMO!$L$2:$L$100),
0)), "R$ ", ""))
))))</f>
        <v>0</v>
      </c>
      <c r="P235" s="9"/>
      <c r="Q235" s="10" t="e">
        <f t="shared" si="49"/>
        <v>#DIV/0!</v>
      </c>
      <c r="R235" s="5">
        <f t="shared" si="43"/>
        <v>50.45</v>
      </c>
      <c r="S235" s="5">
        <f t="shared" si="44"/>
        <v>50.45</v>
      </c>
      <c r="T235" s="5">
        <f t="shared" si="45"/>
        <v>0</v>
      </c>
      <c r="U235" s="5">
        <f t="shared" si="46"/>
        <v>0</v>
      </c>
    </row>
    <row r="236" spans="1:21" x14ac:dyDescent="0.25">
      <c r="A236" s="11"/>
      <c r="B236" s="6" t="s">
        <v>299</v>
      </c>
      <c r="C236" s="9"/>
      <c r="D236" s="6">
        <v>1</v>
      </c>
      <c r="E236" s="8">
        <v>0.04</v>
      </c>
      <c r="F236" s="49">
        <v>0</v>
      </c>
      <c r="G236" s="9"/>
      <c r="H236" s="9">
        <v>179</v>
      </c>
      <c r="I236" s="48">
        <v>0.11</v>
      </c>
      <c r="J236" s="78" cm="1">
        <f t="array" ref="J236">IF(H236&lt;12.5, H236/2,
IF(H236&lt;29, 6.25,
IF(H236&lt;50, 6.5,
IF(H236&lt;79, 6.75,
VALUE(SUBSTITUTE(
INDEX(RESUMO!$J$2:$J$100, MATCH(1,
(D236&gt;=RESUMO!$H$2:$H$100)*(D236&lt;=RESUMO!$I$2:$I$100)*(H236&gt;=RESUMO!$K$2:$K$100)*(H236&lt;=RESUMO!$L$2:$L$100),
0)), "R$ ", ""))
))))</f>
        <v>20.2</v>
      </c>
      <c r="K236" s="9">
        <v>0</v>
      </c>
      <c r="L236" s="10">
        <f t="shared" si="48"/>
        <v>0.77715083798882689</v>
      </c>
      <c r="M236" s="7"/>
      <c r="N236" s="48"/>
      <c r="O236" s="78" cm="1">
        <f t="array" ref="O236">IF(M236&lt;12.5, 0,
IF(M236&lt;29, 6.25,
IF(M236&lt;50, 6.5,
IF(M236&lt;79, 6.75,
VALUE(SUBSTITUTE(
INDEX(RESUMO!$J$2:$J$100, MATCH(1,
(D236&gt;=RESUMO!$H$2:$H$100)*(D236&lt;=RESUMO!$I$2:$I$100)*(M236&gt;=RESUMO!$K$2:$K$100)*(M236&lt;=RESUMO!$L$2:$L$100),
0)), "R$ ", ""))
))))</f>
        <v>0</v>
      </c>
      <c r="P236" s="9"/>
      <c r="Q236" s="10" t="e">
        <f t="shared" si="49"/>
        <v>#DIV/0!</v>
      </c>
      <c r="R236" s="5">
        <f t="shared" si="43"/>
        <v>139.11000000000001</v>
      </c>
      <c r="S236" s="5">
        <f t="shared" si="44"/>
        <v>139.11000000000001</v>
      </c>
      <c r="T236" s="5">
        <f t="shared" si="45"/>
        <v>0</v>
      </c>
      <c r="U236" s="5">
        <f t="shared" si="46"/>
        <v>0</v>
      </c>
    </row>
    <row r="237" spans="1:21" x14ac:dyDescent="0.25">
      <c r="A237" s="11"/>
      <c r="B237" s="6" t="s">
        <v>300</v>
      </c>
      <c r="C237" s="9"/>
      <c r="D237" s="6">
        <v>1</v>
      </c>
      <c r="E237" s="8">
        <v>0.04</v>
      </c>
      <c r="F237" s="49">
        <v>0</v>
      </c>
      <c r="G237" s="9"/>
      <c r="H237" s="9">
        <v>42.9</v>
      </c>
      <c r="I237" s="48">
        <v>0.13</v>
      </c>
      <c r="J237" s="78" cm="1">
        <f t="array" ref="J237">IF(H237&lt;12.5, H237/2,
IF(H237&lt;29, 6.25,
IF(H237&lt;50, 6.5,
IF(H237&lt;79, 6.75,
VALUE(SUBSTITUTE(
INDEX(RESUMO!$J$2:$J$100, MATCH(1,
(D237&gt;=RESUMO!$H$2:$H$100)*(D237&lt;=RESUMO!$I$2:$I$100)*(H237&gt;=RESUMO!$K$2:$K$100)*(H237&lt;=RESUMO!$L$2:$L$100),
0)), "R$ ", ""))
))))</f>
        <v>6.5</v>
      </c>
      <c r="K237" s="9">
        <v>0</v>
      </c>
      <c r="L237" s="10">
        <f t="shared" si="48"/>
        <v>0.7184848484848485</v>
      </c>
      <c r="M237" s="7"/>
      <c r="N237" s="48"/>
      <c r="O237" s="78" cm="1">
        <f t="array" ref="O237">IF(M237&lt;12.5, 0,
IF(M237&lt;29, 6.25,
IF(M237&lt;50, 6.5,
IF(M237&lt;79, 6.75,
VALUE(SUBSTITUTE(
INDEX(RESUMO!$J$2:$J$100, MATCH(1,
(D237&gt;=RESUMO!$H$2:$H$100)*(D237&lt;=RESUMO!$I$2:$I$100)*(M237&gt;=RESUMO!$K$2:$K$100)*(M237&lt;=RESUMO!$L$2:$L$100),
0)), "R$ ", ""))
))))</f>
        <v>0</v>
      </c>
      <c r="P237" s="9"/>
      <c r="Q237" s="10" t="e">
        <f t="shared" si="49"/>
        <v>#DIV/0!</v>
      </c>
      <c r="R237" s="5">
        <f t="shared" si="43"/>
        <v>30.823</v>
      </c>
      <c r="S237" s="5">
        <f t="shared" si="44"/>
        <v>30.823</v>
      </c>
      <c r="T237" s="5">
        <f t="shared" si="45"/>
        <v>0</v>
      </c>
      <c r="U237" s="5">
        <f t="shared" si="46"/>
        <v>0</v>
      </c>
    </row>
    <row r="238" spans="1:21" x14ac:dyDescent="0.25">
      <c r="A238" s="11"/>
      <c r="B238" s="6" t="s">
        <v>301</v>
      </c>
      <c r="C238" s="9"/>
      <c r="D238" s="6">
        <v>4</v>
      </c>
      <c r="E238" s="8">
        <v>0.04</v>
      </c>
      <c r="F238" s="49">
        <v>0</v>
      </c>
      <c r="G238" s="9"/>
      <c r="H238" s="9">
        <v>105</v>
      </c>
      <c r="I238" s="48">
        <v>0.125</v>
      </c>
      <c r="J238" s="78" cm="1">
        <f t="array" ref="J238">IF(H238&lt;12.5, H238/2,
IF(H238&lt;29, 6.25,
IF(H238&lt;50, 6.5,
IF(H238&lt;79, 6.75,
VALUE(SUBSTITUTE(
INDEX(RESUMO!$J$2:$J$100, MATCH(1,
(D238&gt;=RESUMO!$H$2:$H$100)*(D238&lt;=RESUMO!$I$2:$I$100)*(H238&gt;=RESUMO!$K$2:$K$100)*(H238&lt;=RESUMO!$L$2:$L$100),
0)), "R$ ", ""))
))))</f>
        <v>18.87</v>
      </c>
      <c r="K238" s="9">
        <v>0</v>
      </c>
      <c r="L238" s="10">
        <f t="shared" si="48"/>
        <v>0.69528571428571428</v>
      </c>
      <c r="M238" s="7"/>
      <c r="N238" s="48"/>
      <c r="O238" s="78" cm="1">
        <f t="array" ref="O238">IF(M238&lt;12.5, 0,
IF(M238&lt;29, 6.25,
IF(M238&lt;50, 6.5,
IF(M238&lt;79, 6.75,
VALUE(SUBSTITUTE(
INDEX(RESUMO!$J$2:$J$100, MATCH(1,
(D238&gt;=RESUMO!$H$2:$H$100)*(D238&lt;=RESUMO!$I$2:$I$100)*(M238&gt;=RESUMO!$K$2:$K$100)*(M238&lt;=RESUMO!$L$2:$L$100),
0)), "R$ ", ""))
))))</f>
        <v>0</v>
      </c>
      <c r="P238" s="9"/>
      <c r="Q238" s="10" t="e">
        <f t="shared" si="49"/>
        <v>#DIV/0!</v>
      </c>
      <c r="R238" s="5">
        <f t="shared" si="43"/>
        <v>73.004999999999995</v>
      </c>
      <c r="S238" s="5">
        <f t="shared" si="44"/>
        <v>73.004999999999995</v>
      </c>
      <c r="T238" s="5">
        <f t="shared" si="45"/>
        <v>0</v>
      </c>
      <c r="U238" s="5">
        <f t="shared" si="46"/>
        <v>0</v>
      </c>
    </row>
    <row r="239" spans="1:21" x14ac:dyDescent="0.25">
      <c r="A239" s="11"/>
      <c r="B239" s="6" t="s">
        <v>302</v>
      </c>
      <c r="C239" s="9"/>
      <c r="D239" s="6">
        <v>1</v>
      </c>
      <c r="E239" s="8">
        <v>0.04</v>
      </c>
      <c r="F239" s="49">
        <v>0</v>
      </c>
      <c r="G239" s="9"/>
      <c r="H239" s="9">
        <v>25</v>
      </c>
      <c r="I239" s="48">
        <v>0.13</v>
      </c>
      <c r="J239" s="78" cm="1">
        <f t="array" ref="J239">IF(H239&lt;12.5, H239/2,
IF(H239&lt;29, 6.25,
IF(H239&lt;50, 6.5,
IF(H239&lt;79, 6.75,
VALUE(SUBSTITUTE(
INDEX(RESUMO!$J$2:$J$100, MATCH(1,
(D239&gt;=RESUMO!$H$2:$H$100)*(D239&lt;=RESUMO!$I$2:$I$100)*(H239&gt;=RESUMO!$K$2:$K$100)*(H239&lt;=RESUMO!$L$2:$L$100),
0)), "R$ ", ""))
))))</f>
        <v>6.25</v>
      </c>
      <c r="K239" s="9">
        <v>0</v>
      </c>
      <c r="L239" s="10">
        <f t="shared" si="48"/>
        <v>0.62</v>
      </c>
      <c r="M239" s="7"/>
      <c r="N239" s="48"/>
      <c r="O239" s="78" cm="1">
        <f t="array" ref="O239">IF(M239&lt;12.5, 0,
IF(M239&lt;29, 6.25,
IF(M239&lt;50, 6.5,
IF(M239&lt;79, 6.75,
VALUE(SUBSTITUTE(
INDEX(RESUMO!$J$2:$J$100, MATCH(1,
(D239&gt;=RESUMO!$H$2:$H$100)*(D239&lt;=RESUMO!$I$2:$I$100)*(M239&gt;=RESUMO!$K$2:$K$100)*(M239&lt;=RESUMO!$L$2:$L$100),
0)), "R$ ", ""))
))))</f>
        <v>0</v>
      </c>
      <c r="P239" s="9"/>
      <c r="Q239" s="10" t="e">
        <f t="shared" si="49"/>
        <v>#DIV/0!</v>
      </c>
      <c r="R239" s="5">
        <f t="shared" si="43"/>
        <v>15.5</v>
      </c>
      <c r="S239" s="5">
        <f t="shared" si="44"/>
        <v>15.5</v>
      </c>
      <c r="T239" s="5">
        <f t="shared" si="45"/>
        <v>0</v>
      </c>
      <c r="U239" s="5">
        <f t="shared" si="46"/>
        <v>0</v>
      </c>
    </row>
    <row r="240" spans="1:21" x14ac:dyDescent="0.25">
      <c r="A240" s="11"/>
      <c r="B240" s="6" t="s">
        <v>303</v>
      </c>
      <c r="C240" s="9"/>
      <c r="D240" s="6">
        <v>1</v>
      </c>
      <c r="E240" s="8">
        <v>0.04</v>
      </c>
      <c r="F240" s="49">
        <v>0</v>
      </c>
      <c r="G240" s="9"/>
      <c r="H240" s="9">
        <v>29.9</v>
      </c>
      <c r="I240" s="48">
        <v>0.13</v>
      </c>
      <c r="J240" s="78" cm="1">
        <f t="array" ref="J240">IF(H240&lt;12.5, H240/2,
IF(H240&lt;29, 6.25,
IF(H240&lt;50, 6.5,
IF(H240&lt;79, 6.75,
VALUE(SUBSTITUTE(
INDEX(RESUMO!$J$2:$J$100, MATCH(1,
(D240&gt;=RESUMO!$H$2:$H$100)*(D240&lt;=RESUMO!$I$2:$I$100)*(H240&gt;=RESUMO!$K$2:$K$100)*(H240&lt;=RESUMO!$L$2:$L$100),
0)), "R$ ", ""))
))))</f>
        <v>6.5</v>
      </c>
      <c r="K240" s="9">
        <v>0</v>
      </c>
      <c r="L240" s="10">
        <f t="shared" si="48"/>
        <v>0.65260869565217383</v>
      </c>
      <c r="M240" s="7"/>
      <c r="N240" s="48"/>
      <c r="O240" s="78" cm="1">
        <f t="array" ref="O240">IF(M240&lt;12.5, 0,
IF(M240&lt;29, 6.25,
IF(M240&lt;50, 6.5,
IF(M240&lt;79, 6.75,
VALUE(SUBSTITUTE(
INDEX(RESUMO!$J$2:$J$100, MATCH(1,
(D240&gt;=RESUMO!$H$2:$H$100)*(D240&lt;=RESUMO!$I$2:$I$100)*(M240&gt;=RESUMO!$K$2:$K$100)*(M240&lt;=RESUMO!$L$2:$L$100),
0)), "R$ ", ""))
))))</f>
        <v>0</v>
      </c>
      <c r="P240" s="9"/>
      <c r="Q240" s="10" t="e">
        <f t="shared" si="49"/>
        <v>#DIV/0!</v>
      </c>
      <c r="R240" s="5">
        <f t="shared" si="43"/>
        <v>19.512999999999998</v>
      </c>
      <c r="S240" s="5">
        <f t="shared" si="44"/>
        <v>19.512999999999998</v>
      </c>
      <c r="T240" s="5">
        <f t="shared" si="45"/>
        <v>0</v>
      </c>
      <c r="U240" s="5">
        <f t="shared" si="46"/>
        <v>0</v>
      </c>
    </row>
    <row r="241" spans="1:21" x14ac:dyDescent="0.25">
      <c r="A241" s="11"/>
      <c r="B241" s="6" t="s">
        <v>304</v>
      </c>
      <c r="C241" s="9"/>
      <c r="D241" s="6">
        <v>1</v>
      </c>
      <c r="E241" s="8">
        <v>0.04</v>
      </c>
      <c r="F241" s="49">
        <v>0</v>
      </c>
      <c r="G241" s="9"/>
      <c r="H241" s="9">
        <v>24.9</v>
      </c>
      <c r="I241" s="48">
        <v>0.13</v>
      </c>
      <c r="J241" s="78" cm="1">
        <f t="array" ref="J241">IF(H241&lt;12.5, H241/2,
IF(H241&lt;29, 6.25,
IF(H241&lt;50, 6.5,
IF(H241&lt;79, 6.75,
VALUE(SUBSTITUTE(
INDEX(RESUMO!$J$2:$J$100, MATCH(1,
(D241&gt;=RESUMO!$H$2:$H$100)*(D241&lt;=RESUMO!$I$2:$I$100)*(H241&gt;=RESUMO!$K$2:$K$100)*(H241&lt;=RESUMO!$L$2:$L$100),
0)), "R$ ", ""))
))))</f>
        <v>6.25</v>
      </c>
      <c r="K241" s="9">
        <v>0</v>
      </c>
      <c r="L241" s="10">
        <f t="shared" si="48"/>
        <v>0.61899598393574284</v>
      </c>
      <c r="M241" s="7"/>
      <c r="N241" s="48"/>
      <c r="O241" s="78" cm="1">
        <f t="array" ref="O241">IF(M241&lt;12.5, 0,
IF(M241&lt;29, 6.25,
IF(M241&lt;50, 6.5,
IF(M241&lt;79, 6.75,
VALUE(SUBSTITUTE(
INDEX(RESUMO!$J$2:$J$100, MATCH(1,
(D241&gt;=RESUMO!$H$2:$H$100)*(D241&lt;=RESUMO!$I$2:$I$100)*(M241&gt;=RESUMO!$K$2:$K$100)*(M241&lt;=RESUMO!$L$2:$L$100),
0)), "R$ ", ""))
))))</f>
        <v>0</v>
      </c>
      <c r="P241" s="9"/>
      <c r="Q241" s="10" t="e">
        <f t="shared" si="49"/>
        <v>#DIV/0!</v>
      </c>
      <c r="R241" s="5">
        <f t="shared" si="43"/>
        <v>15.412999999999997</v>
      </c>
      <c r="S241" s="5">
        <f t="shared" si="44"/>
        <v>15.412999999999997</v>
      </c>
      <c r="T241" s="5">
        <f t="shared" si="45"/>
        <v>0</v>
      </c>
      <c r="U241" s="5">
        <f t="shared" si="46"/>
        <v>0</v>
      </c>
    </row>
    <row r="242" spans="1:21" x14ac:dyDescent="0.25">
      <c r="A242" s="11" t="s">
        <v>25</v>
      </c>
      <c r="B242" s="6" t="s">
        <v>305</v>
      </c>
      <c r="C242" s="9">
        <v>293.85000000000002</v>
      </c>
      <c r="D242" s="6">
        <v>2</v>
      </c>
      <c r="E242" s="8">
        <v>0.04</v>
      </c>
      <c r="F242" s="49">
        <v>0</v>
      </c>
      <c r="G242" s="9">
        <v>2</v>
      </c>
      <c r="H242" s="9">
        <v>425</v>
      </c>
      <c r="I242" s="48">
        <v>0.12</v>
      </c>
      <c r="J242" s="78" cm="1">
        <f t="array" ref="J242">IF(H242&lt;12.5, H242/2,
IF(H242&lt;29, 6.25,
IF(H242&lt;50, 6.5,
IF(H242&lt;79, 6.75,
VALUE(SUBSTITUTE(
INDEX(RESUMO!$J$2:$J$100, MATCH(1,
(D242&gt;=RESUMO!$H$2:$H$100)*(D242&lt;=RESUMO!$I$2:$I$100)*(H242&gt;=RESUMO!$K$2:$K$100)*(H242&lt;=RESUMO!$L$2:$L$100),
0)), "R$ ", ""))
))))</f>
        <v>23.45</v>
      </c>
      <c r="K242" s="9">
        <v>0</v>
      </c>
      <c r="L242" s="10">
        <f t="shared" si="48"/>
        <v>0.10575529411764699</v>
      </c>
      <c r="M242" s="7">
        <v>449.9</v>
      </c>
      <c r="N242" s="48">
        <v>0.17</v>
      </c>
      <c r="O242" s="78" cm="1">
        <f t="array" ref="O242">IF(M242&lt;12.5, 0,
IF(M242&lt;29, 6.25,
IF(M242&lt;50, 6.5,
IF(M242&lt;79, 6.75,
VALUE(SUBSTITUTE(
INDEX(RESUMO!$J$2:$J$100, MATCH(1,
(D242&gt;=RESUMO!$H$2:$H$100)*(D242&lt;=RESUMO!$I$2:$I$100)*(M242&gt;=RESUMO!$K$2:$K$100)*(M242&lt;=RESUMO!$L$2:$L$100),
0)), "R$ ", ""))
))))</f>
        <v>23.45</v>
      </c>
      <c r="P242" s="9">
        <v>0</v>
      </c>
      <c r="Q242" s="10">
        <f t="shared" si="49"/>
        <v>9.8606356968215042E-2</v>
      </c>
      <c r="R242" s="5">
        <f t="shared" ref="R242:R304" si="50">(H242-(H242*I242)-J242-(C242*E242)+K242)</f>
        <v>338.79599999999999</v>
      </c>
      <c r="S242" s="5">
        <f t="shared" ref="S242:S304" si="51">R242-(C242-F242)</f>
        <v>44.94599999999997</v>
      </c>
      <c r="T242" s="5">
        <f t="shared" ref="T242:T304" si="52">(M242-(M242*N242)-O242-(C242*E242)+P242)</f>
        <v>338.21299999999997</v>
      </c>
      <c r="U242" s="5">
        <f t="shared" ref="U242:U304" si="53">T242-(C242-F242)</f>
        <v>44.362999999999943</v>
      </c>
    </row>
    <row r="243" spans="1:21" x14ac:dyDescent="0.25">
      <c r="A243" s="11" t="s">
        <v>25</v>
      </c>
      <c r="B243" s="6" t="s">
        <v>306</v>
      </c>
      <c r="C243" s="9">
        <v>679.64</v>
      </c>
      <c r="D243" s="6">
        <v>23</v>
      </c>
      <c r="E243" s="8">
        <v>0.04</v>
      </c>
      <c r="F243" s="49">
        <v>0</v>
      </c>
      <c r="G243" s="9">
        <v>2</v>
      </c>
      <c r="H243" s="9">
        <v>899</v>
      </c>
      <c r="I243" s="48">
        <v>0.11</v>
      </c>
      <c r="J243" s="78" cm="1">
        <f t="array" ref="J243">IF(H243&lt;12.5, H243/2,
IF(H243&lt;29, 6.25,
IF(H243&lt;50, 6.5,
IF(H243&lt;79, 6.75,
VALUE(SUBSTITUTE(
INDEX(RESUMO!$J$2:$J$100, MATCH(1,
(D243&gt;=RESUMO!$H$2:$H$100)*(D243&lt;=RESUMO!$I$2:$I$100)*(H243&gt;=RESUMO!$K$2:$K$100)*(H243&lt;=RESUMO!$L$2:$L$100),
0)), "R$ ", ""))
))))</f>
        <v>85.95</v>
      </c>
      <c r="K243" s="9">
        <v>0</v>
      </c>
      <c r="L243" s="10">
        <f t="shared" si="48"/>
        <v>8.1583982202446722E-3</v>
      </c>
      <c r="M243" s="7">
        <v>975</v>
      </c>
      <c r="N243" s="48">
        <v>0.16</v>
      </c>
      <c r="O243" s="78" cm="1">
        <f t="array" ref="O243">IF(M243&lt;12.5, 0,
IF(M243&lt;29, 6.25,
IF(M243&lt;50, 6.5,
IF(M243&lt;79, 6.75,
VALUE(SUBSTITUTE(
INDEX(RESUMO!$J$2:$J$100, MATCH(1,
(D243&gt;=RESUMO!$H$2:$H$100)*(D243&lt;=RESUMO!$I$2:$I$100)*(M243&gt;=RESUMO!$K$2:$K$100)*(M243&lt;=RESUMO!$L$2:$L$100),
0)), "R$ ", ""))
))))</f>
        <v>85.95</v>
      </c>
      <c r="P243" s="9">
        <v>0</v>
      </c>
      <c r="Q243" s="10">
        <f t="shared" si="49"/>
        <v>2.6896820512820458E-2</v>
      </c>
      <c r="R243" s="5">
        <f t="shared" si="50"/>
        <v>686.97439999999995</v>
      </c>
      <c r="S243" s="5">
        <f t="shared" si="51"/>
        <v>7.3343999999999596</v>
      </c>
      <c r="T243" s="5">
        <f t="shared" si="52"/>
        <v>705.86439999999993</v>
      </c>
      <c r="U243" s="5">
        <f t="shared" si="53"/>
        <v>26.224399999999946</v>
      </c>
    </row>
    <row r="244" spans="1:21" x14ac:dyDescent="0.25">
      <c r="A244" s="11" t="s">
        <v>25</v>
      </c>
      <c r="B244" s="6" t="s">
        <v>307</v>
      </c>
      <c r="C244" s="9">
        <v>679.64</v>
      </c>
      <c r="D244" s="6">
        <v>23</v>
      </c>
      <c r="E244" s="8">
        <v>0.04</v>
      </c>
      <c r="F244" s="49">
        <v>0</v>
      </c>
      <c r="G244" s="9">
        <v>2</v>
      </c>
      <c r="H244" s="9">
        <v>899</v>
      </c>
      <c r="I244" s="48">
        <v>0.11</v>
      </c>
      <c r="J244" s="78" cm="1">
        <f t="array" ref="J244">IF(H244&lt;12.5, H244/2,
IF(H244&lt;29, 6.25,
IF(H244&lt;50, 6.5,
IF(H244&lt;79, 6.75,
VALUE(SUBSTITUTE(
INDEX(RESUMO!$J$2:$J$100, MATCH(1,
(D244&gt;=RESUMO!$H$2:$H$100)*(D244&lt;=RESUMO!$I$2:$I$100)*(H244&gt;=RESUMO!$K$2:$K$100)*(H244&lt;=RESUMO!$L$2:$L$100),
0)), "R$ ", ""))
))))</f>
        <v>85.95</v>
      </c>
      <c r="K244" s="9">
        <v>0</v>
      </c>
      <c r="L244" s="10">
        <f>S244/H244</f>
        <v>8.1583982202446722E-3</v>
      </c>
      <c r="M244" s="7">
        <v>975</v>
      </c>
      <c r="N244" s="48">
        <v>0.16</v>
      </c>
      <c r="O244" s="78" cm="1">
        <f t="array" ref="O244">IF(M244&lt;12.5, 0,
IF(M244&lt;29, 6.25,
IF(M244&lt;50, 6.5,
IF(M244&lt;79, 6.75,
VALUE(SUBSTITUTE(
INDEX(RESUMO!$J$2:$J$100, MATCH(1,
(D244&gt;=RESUMO!$H$2:$H$100)*(D244&lt;=RESUMO!$I$2:$I$100)*(M244&gt;=RESUMO!$K$2:$K$100)*(M244&lt;=RESUMO!$L$2:$L$100),
0)), "R$ ", ""))
))))</f>
        <v>85.95</v>
      </c>
      <c r="P244" s="9">
        <v>0</v>
      </c>
      <c r="Q244" s="10">
        <f>U244/M244</f>
        <v>2.6896820512820458E-2</v>
      </c>
      <c r="R244" s="5">
        <f t="shared" si="50"/>
        <v>686.97439999999995</v>
      </c>
      <c r="S244" s="5">
        <f t="shared" si="51"/>
        <v>7.3343999999999596</v>
      </c>
      <c r="T244" s="5">
        <f t="shared" si="52"/>
        <v>705.86439999999993</v>
      </c>
      <c r="U244" s="5">
        <f t="shared" si="53"/>
        <v>26.224399999999946</v>
      </c>
    </row>
    <row r="245" spans="1:21" x14ac:dyDescent="0.25">
      <c r="A245" s="11" t="s">
        <v>25</v>
      </c>
      <c r="B245" s="6" t="s">
        <v>308</v>
      </c>
      <c r="C245" s="9">
        <v>1126.25</v>
      </c>
      <c r="D245" s="6">
        <v>9</v>
      </c>
      <c r="E245" s="8">
        <v>0.04</v>
      </c>
      <c r="F245" s="49">
        <v>0</v>
      </c>
      <c r="G245" s="9">
        <v>2</v>
      </c>
      <c r="H245" s="9">
        <v>1310</v>
      </c>
      <c r="I245" s="48">
        <v>0.11</v>
      </c>
      <c r="J245" s="78" cm="1">
        <f t="array" ref="J245">IF(H245&lt;12.5, H245/2,
IF(H245&lt;29, 6.25,
IF(H245&lt;50, 6.5,
IF(H245&lt;79, 6.75,
VALUE(SUBSTITUTE(
INDEX(RESUMO!$J$2:$J$100, MATCH(1,
(D245&gt;=RESUMO!$H$2:$H$100)*(D245&lt;=RESUMO!$I$2:$I$100)*(H245&gt;=RESUMO!$K$2:$K$100)*(H245&lt;=RESUMO!$L$2:$L$100),
0)), "R$ ", ""))
))))</f>
        <v>44.45</v>
      </c>
      <c r="K245" s="9">
        <v>0</v>
      </c>
      <c r="L245" s="10">
        <f t="shared" si="48"/>
        <v>-3.805343511450375E-2</v>
      </c>
      <c r="M245" s="7"/>
      <c r="N245" s="48"/>
      <c r="O245" s="78" cm="1">
        <f t="array" ref="O245">IF(M245&lt;12.5, 0,
IF(M245&lt;29, 6.25,
IF(M245&lt;50, 6.5,
IF(M245&lt;79, 6.75,
VALUE(SUBSTITUTE(
INDEX(RESUMO!$J$2:$J$100, MATCH(1,
(D245&gt;=RESUMO!$H$2:$H$100)*(D245&lt;=RESUMO!$I$2:$I$100)*(M245&gt;=RESUMO!$K$2:$K$100)*(M245&lt;=RESUMO!$L$2:$L$100),
0)), "R$ ", ""))
))))</f>
        <v>0</v>
      </c>
      <c r="P245" s="9"/>
      <c r="Q245" s="10" t="e">
        <f t="shared" si="49"/>
        <v>#DIV/0!</v>
      </c>
      <c r="R245" s="5">
        <f t="shared" si="50"/>
        <v>1076.4000000000001</v>
      </c>
      <c r="S245" s="5">
        <f t="shared" si="51"/>
        <v>-49.849999999999909</v>
      </c>
      <c r="T245" s="5">
        <f t="shared" si="52"/>
        <v>-45.050000000000004</v>
      </c>
      <c r="U245" s="5">
        <f t="shared" si="53"/>
        <v>-1171.3</v>
      </c>
    </row>
    <row r="246" spans="1:21" x14ac:dyDescent="0.25">
      <c r="A246" s="11"/>
      <c r="B246" s="6" t="s">
        <v>312</v>
      </c>
      <c r="C246" s="9">
        <v>310</v>
      </c>
      <c r="D246" s="6">
        <v>0.5</v>
      </c>
      <c r="E246" s="8">
        <v>0.04</v>
      </c>
      <c r="F246" s="49">
        <v>0</v>
      </c>
      <c r="G246" s="9">
        <v>2</v>
      </c>
      <c r="H246" s="9">
        <v>378</v>
      </c>
      <c r="I246" s="48">
        <v>0.13</v>
      </c>
      <c r="J246" s="78" cm="1">
        <f t="array" ref="J246">IF(H246&lt;12.5, H246/2,
IF(H246&lt;29, 6.25,
IF(H246&lt;50, 6.5,
IF(H246&lt;79, 6.75,
VALUE(SUBSTITUTE(
INDEX(RESUMO!$J$2:$J$100, MATCH(1,
(D246&gt;=RESUMO!$H$2:$H$100)*(D246&lt;=RESUMO!$I$2:$I$100)*(H246&gt;=RESUMO!$K$2:$K$100)*(H246&lt;=RESUMO!$L$2:$L$100),
0)), "R$ ", ""))
))))</f>
        <v>21.45</v>
      </c>
      <c r="K246" s="9">
        <v>0</v>
      </c>
      <c r="L246" s="10">
        <f t="shared" si="48"/>
        <v>-3.9656084656084528E-2</v>
      </c>
      <c r="M246" s="7"/>
      <c r="N246" s="48"/>
      <c r="O246" s="78" cm="1">
        <f t="array" ref="O246">IF(M246&lt;12.5, 0,
IF(M246&lt;29, 6.25,
IF(M246&lt;50, 6.5,
IF(M246&lt;79, 6.75,
VALUE(SUBSTITUTE(
INDEX(RESUMO!$J$2:$J$100, MATCH(1,
(D246&gt;=RESUMO!$H$2:$H$100)*(D246&lt;=RESUMO!$I$2:$I$100)*(M246&gt;=RESUMO!$K$2:$K$100)*(M246&lt;=RESUMO!$L$2:$L$100),
0)), "R$ ", ""))
))))</f>
        <v>0</v>
      </c>
      <c r="P246" s="9"/>
      <c r="Q246" s="10" t="e">
        <f t="shared" si="49"/>
        <v>#DIV/0!</v>
      </c>
      <c r="R246" s="5">
        <f t="shared" si="50"/>
        <v>295.01000000000005</v>
      </c>
      <c r="S246" s="5">
        <f t="shared" si="51"/>
        <v>-14.989999999999952</v>
      </c>
      <c r="T246" s="5">
        <f t="shared" si="52"/>
        <v>-12.4</v>
      </c>
      <c r="U246" s="5">
        <f t="shared" si="53"/>
        <v>-322.39999999999998</v>
      </c>
    </row>
    <row r="247" spans="1:21" x14ac:dyDescent="0.25">
      <c r="A247" s="11" t="s">
        <v>25</v>
      </c>
      <c r="B247" s="6" t="s">
        <v>313</v>
      </c>
      <c r="C247" s="9">
        <v>177.3</v>
      </c>
      <c r="D247" s="6">
        <v>9</v>
      </c>
      <c r="E247" s="8">
        <v>0.04</v>
      </c>
      <c r="F247" s="49">
        <v>0</v>
      </c>
      <c r="G247" s="9">
        <v>2</v>
      </c>
      <c r="H247" s="9">
        <v>289.89999999999998</v>
      </c>
      <c r="I247" s="48">
        <v>0.11</v>
      </c>
      <c r="J247" s="78" cm="1">
        <f t="array" ref="J247">IF(H247&lt;12.5, H247/2,
IF(H247&lt;29, 6.25,
IF(H247&lt;50, 6.5,
IF(H247&lt;79, 6.75,
VALUE(SUBSTITUTE(
INDEX(RESUMO!$J$2:$J$100, MATCH(1,
(D247&gt;=RESUMO!$H$2:$H$100)*(D247&lt;=RESUMO!$I$2:$I$100)*(H247&gt;=RESUMO!$K$2:$K$100)*(H247&lt;=RESUMO!$L$2:$L$100),
0)), "R$ ", ""))
))))</f>
        <v>44.45</v>
      </c>
      <c r="K247" s="9">
        <v>0</v>
      </c>
      <c r="L247" s="10">
        <f t="shared" si="48"/>
        <v>0.10061745429458419</v>
      </c>
      <c r="M247" s="7"/>
      <c r="N247" s="48"/>
      <c r="O247" s="78" cm="1">
        <f t="array" ref="O247">IF(M247&lt;12.5, 0,
IF(M247&lt;29, 6.25,
IF(M247&lt;50, 6.5,
IF(M247&lt;79, 6.75,
VALUE(SUBSTITUTE(
INDEX(RESUMO!$J$2:$J$100, MATCH(1,
(D247&gt;=RESUMO!$H$2:$H$100)*(D247&lt;=RESUMO!$I$2:$I$100)*(M247&gt;=RESUMO!$K$2:$K$100)*(M247&lt;=RESUMO!$L$2:$L$100),
0)), "R$ ", ""))
))))</f>
        <v>0</v>
      </c>
      <c r="P247" s="9"/>
      <c r="Q247" s="10" t="e">
        <f t="shared" si="49"/>
        <v>#DIV/0!</v>
      </c>
      <c r="R247" s="5">
        <f t="shared" si="50"/>
        <v>206.46899999999997</v>
      </c>
      <c r="S247" s="5">
        <f t="shared" si="51"/>
        <v>29.168999999999954</v>
      </c>
      <c r="T247" s="5">
        <f t="shared" si="52"/>
        <v>-7.0920000000000005</v>
      </c>
      <c r="U247" s="5">
        <f t="shared" si="53"/>
        <v>-184.39200000000002</v>
      </c>
    </row>
    <row r="248" spans="1:21" x14ac:dyDescent="0.25">
      <c r="A248" s="11" t="s">
        <v>25</v>
      </c>
      <c r="B248" s="6" t="s">
        <v>314</v>
      </c>
      <c r="C248" s="9">
        <v>221.62</v>
      </c>
      <c r="D248" s="6">
        <v>5</v>
      </c>
      <c r="E248" s="8">
        <v>0.04</v>
      </c>
      <c r="F248" s="49">
        <v>0</v>
      </c>
      <c r="G248" s="9">
        <v>2</v>
      </c>
      <c r="H248" s="9">
        <v>329.9</v>
      </c>
      <c r="I248" s="48">
        <v>0.11</v>
      </c>
      <c r="J248" s="78" cm="1">
        <f t="array" ref="J248">IF(H248&lt;12.5, H248/2,
IF(H248&lt;29, 6.25,
IF(H248&lt;50, 6.5,
IF(H248&lt;79, 6.75,
VALUE(SUBSTITUTE(
INDEX(RESUMO!$J$2:$J$100, MATCH(1,
(D248&gt;=RESUMO!$H$2:$H$100)*(D248&lt;=RESUMO!$I$2:$I$100)*(H248&gt;=RESUMO!$K$2:$K$100)*(H248&lt;=RESUMO!$L$2:$L$100),
0)), "R$ ", ""))
))))</f>
        <v>28.45</v>
      </c>
      <c r="K248" s="9">
        <v>0</v>
      </c>
      <c r="L248" s="10">
        <f t="shared" si="48"/>
        <v>0.10511124583207032</v>
      </c>
      <c r="M248" s="7"/>
      <c r="N248" s="48"/>
      <c r="O248" s="78" cm="1">
        <f t="array" ref="O248">IF(M248&lt;12.5, 0,
IF(M248&lt;29, 6.25,
IF(M248&lt;50, 6.5,
IF(M248&lt;79, 6.75,
VALUE(SUBSTITUTE(
INDEX(RESUMO!$J$2:$J$100, MATCH(1,
(D248&gt;=RESUMO!$H$2:$H$100)*(D248&lt;=RESUMO!$I$2:$I$100)*(M248&gt;=RESUMO!$K$2:$K$100)*(M248&lt;=RESUMO!$L$2:$L$100),
0)), "R$ ", ""))
))))</f>
        <v>0</v>
      </c>
      <c r="P248" s="9"/>
      <c r="Q248" s="10" t="e">
        <f t="shared" si="49"/>
        <v>#DIV/0!</v>
      </c>
      <c r="R248" s="5">
        <f t="shared" si="50"/>
        <v>256.2962</v>
      </c>
      <c r="S248" s="5">
        <f t="shared" si="51"/>
        <v>34.676199999999994</v>
      </c>
      <c r="T248" s="5">
        <f t="shared" si="52"/>
        <v>-8.8648000000000007</v>
      </c>
      <c r="U248" s="5">
        <f t="shared" si="53"/>
        <v>-230.48480000000001</v>
      </c>
    </row>
    <row r="249" spans="1:21" x14ac:dyDescent="0.25">
      <c r="A249" s="11" t="s">
        <v>25</v>
      </c>
      <c r="B249" s="6" t="s">
        <v>315</v>
      </c>
      <c r="C249" s="9">
        <v>205.59</v>
      </c>
      <c r="D249" s="6">
        <v>5</v>
      </c>
      <c r="E249" s="8">
        <v>0.04</v>
      </c>
      <c r="F249" s="49">
        <v>0</v>
      </c>
      <c r="G249" s="9">
        <v>2</v>
      </c>
      <c r="H249" s="9">
        <v>307</v>
      </c>
      <c r="I249" s="48">
        <v>0.11</v>
      </c>
      <c r="J249" s="78" cm="1">
        <f t="array" ref="J249">IF(H249&lt;12.5, H249/2,
IF(H249&lt;29, 6.25,
IF(H249&lt;50, 6.5,
IF(H249&lt;79, 6.75,
VALUE(SUBSTITUTE(
INDEX(RESUMO!$J$2:$J$100, MATCH(1,
(D249&gt;=RESUMO!$H$2:$H$100)*(D249&lt;=RESUMO!$I$2:$I$100)*(H249&gt;=RESUMO!$K$2:$K$100)*(H249&lt;=RESUMO!$L$2:$L$100),
0)), "R$ ", ""))
))))</f>
        <v>28.45</v>
      </c>
      <c r="K249" s="9">
        <v>0</v>
      </c>
      <c r="L249" s="10">
        <f t="shared" si="48"/>
        <v>0.10086775244299681</v>
      </c>
      <c r="M249" s="7"/>
      <c r="N249" s="48"/>
      <c r="O249" s="78" cm="1">
        <f t="array" ref="O249">IF(M249&lt;12.5, 0,
IF(M249&lt;29, 6.25,
IF(M249&lt;50, 6.5,
IF(M249&lt;79, 6.75,
VALUE(SUBSTITUTE(
INDEX(RESUMO!$J$2:$J$100, MATCH(1,
(D249&gt;=RESUMO!$H$2:$H$100)*(D249&lt;=RESUMO!$I$2:$I$100)*(M249&gt;=RESUMO!$K$2:$K$100)*(M249&lt;=RESUMO!$L$2:$L$100),
0)), "R$ ", ""))
))))</f>
        <v>0</v>
      </c>
      <c r="P249" s="9"/>
      <c r="Q249" s="10" t="e">
        <f t="shared" si="49"/>
        <v>#DIV/0!</v>
      </c>
      <c r="R249" s="5">
        <f t="shared" si="50"/>
        <v>236.55640000000002</v>
      </c>
      <c r="S249" s="5">
        <f t="shared" si="51"/>
        <v>30.966400000000021</v>
      </c>
      <c r="T249" s="5">
        <f t="shared" si="52"/>
        <v>-8.2236000000000011</v>
      </c>
      <c r="U249" s="5">
        <f t="shared" si="53"/>
        <v>-213.81360000000001</v>
      </c>
    </row>
    <row r="250" spans="1:21" x14ac:dyDescent="0.25">
      <c r="A250" s="11" t="s">
        <v>25</v>
      </c>
      <c r="B250" s="6" t="s">
        <v>316</v>
      </c>
      <c r="C250" s="9">
        <v>177.3</v>
      </c>
      <c r="D250" s="6">
        <v>9</v>
      </c>
      <c r="E250" s="8">
        <v>0.04</v>
      </c>
      <c r="F250" s="49">
        <v>0</v>
      </c>
      <c r="G250" s="9">
        <v>1</v>
      </c>
      <c r="H250" s="9">
        <v>273</v>
      </c>
      <c r="I250" s="48">
        <v>0.11</v>
      </c>
      <c r="J250" s="78" cm="1">
        <f t="array" ref="J250">IF(H250&lt;12.5, H250/2,
IF(H250&lt;29, 6.25,
IF(H250&lt;50, 6.5,
IF(H250&lt;79, 6.75,
VALUE(SUBSTITUTE(
INDEX(RESUMO!$J$2:$J$100, MATCH(1,
(D250&gt;=RESUMO!$H$2:$H$100)*(D250&lt;=RESUMO!$I$2:$I$100)*(H250&gt;=RESUMO!$K$2:$K$100)*(H250&lt;=RESUMO!$L$2:$L$100),
0)), "R$ ", ""))
))))</f>
        <v>44.45</v>
      </c>
      <c r="K250" s="9">
        <v>0</v>
      </c>
      <c r="L250" s="10">
        <f t="shared" si="48"/>
        <v>5.1750915750915595E-2</v>
      </c>
      <c r="M250" s="7"/>
      <c r="N250" s="48"/>
      <c r="O250" s="78" cm="1">
        <f t="array" ref="O250">IF(M250&lt;12.5, 0,
IF(M250&lt;29, 6.25,
IF(M250&lt;50, 6.5,
IF(M250&lt;79, 6.75,
VALUE(SUBSTITUTE(
INDEX(RESUMO!$J$2:$J$100, MATCH(1,
(D250&gt;=RESUMO!$H$2:$H$100)*(D250&lt;=RESUMO!$I$2:$I$100)*(M250&gt;=RESUMO!$K$2:$K$100)*(M250&lt;=RESUMO!$L$2:$L$100),
0)), "R$ ", ""))
))))</f>
        <v>0</v>
      </c>
      <c r="P250" s="9"/>
      <c r="Q250" s="10" t="e">
        <f t="shared" si="49"/>
        <v>#DIV/0!</v>
      </c>
      <c r="R250" s="5">
        <f t="shared" si="50"/>
        <v>191.42799999999997</v>
      </c>
      <c r="S250" s="5">
        <f t="shared" si="51"/>
        <v>14.127999999999957</v>
      </c>
      <c r="T250" s="5">
        <f t="shared" si="52"/>
        <v>-7.0920000000000005</v>
      </c>
      <c r="U250" s="5">
        <f t="shared" si="53"/>
        <v>-184.39200000000002</v>
      </c>
    </row>
    <row r="251" spans="1:21" x14ac:dyDescent="0.25">
      <c r="A251" s="11" t="s">
        <v>25</v>
      </c>
      <c r="B251" s="6" t="s">
        <v>317</v>
      </c>
      <c r="C251" s="9">
        <v>203.89</v>
      </c>
      <c r="D251" s="6">
        <v>9</v>
      </c>
      <c r="E251" s="8">
        <v>0.04</v>
      </c>
      <c r="F251" s="49">
        <v>0</v>
      </c>
      <c r="G251" s="9">
        <v>1</v>
      </c>
      <c r="H251" s="9">
        <v>289</v>
      </c>
      <c r="I251" s="48">
        <v>0.11</v>
      </c>
      <c r="J251" s="78" cm="1">
        <f t="array" ref="J251">IF(H251&lt;12.5, H251/2,
IF(H251&lt;29, 6.25,
IF(H251&lt;50, 6.5,
IF(H251&lt;79, 6.75,
VALUE(SUBSTITUTE(
INDEX(RESUMO!$J$2:$J$100, MATCH(1,
(D251&gt;=RESUMO!$H$2:$H$100)*(D251&lt;=RESUMO!$I$2:$I$100)*(H251&gt;=RESUMO!$K$2:$K$100)*(H251&lt;=RESUMO!$L$2:$L$100),
0)), "R$ ", ""))
))))</f>
        <v>44.45</v>
      </c>
      <c r="K251" s="9">
        <v>0</v>
      </c>
      <c r="L251" s="10">
        <f t="shared" si="48"/>
        <v>2.4719723183391417E-3</v>
      </c>
      <c r="M251" s="7"/>
      <c r="N251" s="48"/>
      <c r="O251" s="78" cm="1">
        <f t="array" ref="O251">IF(M251&lt;12.5, 0,
IF(M251&lt;29, 6.25,
IF(M251&lt;50, 6.5,
IF(M251&lt;79, 6.75,
VALUE(SUBSTITUTE(
INDEX(RESUMO!$J$2:$J$100, MATCH(1,
(D251&gt;=RESUMO!$H$2:$H$100)*(D251&lt;=RESUMO!$I$2:$I$100)*(M251&gt;=RESUMO!$K$2:$K$100)*(M251&lt;=RESUMO!$L$2:$L$100),
0)), "R$ ", ""))
))))</f>
        <v>0</v>
      </c>
      <c r="P251" s="9"/>
      <c r="Q251" s="10" t="e">
        <f t="shared" si="49"/>
        <v>#DIV/0!</v>
      </c>
      <c r="R251" s="5">
        <f t="shared" si="50"/>
        <v>204.6044</v>
      </c>
      <c r="S251" s="5">
        <f t="shared" si="51"/>
        <v>0.71440000000001191</v>
      </c>
      <c r="T251" s="5">
        <f t="shared" si="52"/>
        <v>-8.1555999999999997</v>
      </c>
      <c r="U251" s="5">
        <f t="shared" si="53"/>
        <v>-212.04559999999998</v>
      </c>
    </row>
    <row r="252" spans="1:21" x14ac:dyDescent="0.25">
      <c r="A252" s="11" t="s">
        <v>25</v>
      </c>
      <c r="B252" s="6" t="s">
        <v>318</v>
      </c>
      <c r="C252" s="9">
        <v>475.13</v>
      </c>
      <c r="D252" s="6">
        <v>13</v>
      </c>
      <c r="E252" s="8">
        <v>0.04</v>
      </c>
      <c r="F252" s="49">
        <v>0</v>
      </c>
      <c r="G252" s="9">
        <v>1</v>
      </c>
      <c r="H252" s="9">
        <v>669</v>
      </c>
      <c r="I252" s="48">
        <v>0.11</v>
      </c>
      <c r="J252" s="78" cm="1">
        <f t="array" ref="J252">IF(H252&lt;12.5, H252/2,
IF(H252&lt;29, 6.25,
IF(H252&lt;50, 6.5,
IF(H252&lt;79, 6.75,
VALUE(SUBSTITUTE(
INDEX(RESUMO!$J$2:$J$100, MATCH(1,
(D252&gt;=RESUMO!$H$2:$H$100)*(D252&lt;=RESUMO!$I$2:$I$100)*(H252&gt;=RESUMO!$K$2:$K$100)*(H252&lt;=RESUMO!$L$2:$L$100),
0)), "R$ ", ""))
))))</f>
        <v>65.95</v>
      </c>
      <c r="K252" s="9">
        <v>0</v>
      </c>
      <c r="L252" s="10">
        <f t="shared" si="48"/>
        <v>5.2802391629297347E-2</v>
      </c>
      <c r="M252" s="7"/>
      <c r="N252" s="48"/>
      <c r="O252" s="78" cm="1">
        <f t="array" ref="O252">IF(M252&lt;12.5, 0,
IF(M252&lt;29, 6.25,
IF(M252&lt;50, 6.5,
IF(M252&lt;79, 6.75,
VALUE(SUBSTITUTE(
INDEX(RESUMO!$J$2:$J$100, MATCH(1,
(D252&gt;=RESUMO!$H$2:$H$100)*(D252&lt;=RESUMO!$I$2:$I$100)*(M252&gt;=RESUMO!$K$2:$K$100)*(M252&lt;=RESUMO!$L$2:$L$100),
0)), "R$ ", ""))
))))</f>
        <v>0</v>
      </c>
      <c r="P252" s="9"/>
      <c r="Q252" s="10" t="e">
        <f t="shared" si="49"/>
        <v>#DIV/0!</v>
      </c>
      <c r="R252" s="5">
        <f t="shared" si="50"/>
        <v>510.45479999999992</v>
      </c>
      <c r="S252" s="5">
        <f t="shared" si="51"/>
        <v>35.324799999999925</v>
      </c>
      <c r="T252" s="5">
        <f t="shared" si="52"/>
        <v>-19.005199999999999</v>
      </c>
      <c r="U252" s="5">
        <f t="shared" si="53"/>
        <v>-494.1352</v>
      </c>
    </row>
    <row r="253" spans="1:21" x14ac:dyDescent="0.25">
      <c r="A253" s="11" t="s">
        <v>33</v>
      </c>
      <c r="B253" s="6" t="s">
        <v>319</v>
      </c>
      <c r="C253" s="9">
        <v>447.73</v>
      </c>
      <c r="D253" s="6">
        <v>13</v>
      </c>
      <c r="E253" s="8">
        <v>0.04</v>
      </c>
      <c r="F253" s="49">
        <v>0</v>
      </c>
      <c r="G253" s="9">
        <v>2</v>
      </c>
      <c r="H253" s="9">
        <v>669.9</v>
      </c>
      <c r="I253" s="48">
        <v>0.11</v>
      </c>
      <c r="J253" s="78" cm="1">
        <f t="array" ref="J253">IF(H253&lt;12.5, H253/2,
IF(H253&lt;29, 6.25,
IF(H253&lt;50, 6.5,
IF(H253&lt;79, 6.75,
VALUE(SUBSTITUTE(
INDEX(RESUMO!$J$2:$J$100, MATCH(1,
(D253&gt;=RESUMO!$H$2:$H$100)*(D253&lt;=RESUMO!$I$2:$I$100)*(H253&gt;=RESUMO!$K$2:$K$100)*(H253&lt;=RESUMO!$L$2:$L$100),
0)), "R$ ", ""))
))))</f>
        <v>65.95</v>
      </c>
      <c r="K253" s="9">
        <v>0</v>
      </c>
      <c r="L253" s="10">
        <f t="shared" si="48"/>
        <v>9.64648454993281E-2</v>
      </c>
      <c r="M253" s="7"/>
      <c r="N253" s="48"/>
      <c r="O253" s="78" cm="1">
        <f t="array" ref="O253">IF(M253&lt;12.5, 0,
IF(M253&lt;29, 6.25,
IF(M253&lt;50, 6.5,
IF(M253&lt;79, 6.75,
VALUE(SUBSTITUTE(
INDEX(RESUMO!$J$2:$J$100, MATCH(1,
(D253&gt;=RESUMO!$H$2:$H$100)*(D253&lt;=RESUMO!$I$2:$I$100)*(M253&gt;=RESUMO!$K$2:$K$100)*(M253&lt;=RESUMO!$L$2:$L$100),
0)), "R$ ", ""))
))))</f>
        <v>0</v>
      </c>
      <c r="P253" s="9"/>
      <c r="Q253" s="10" t="e">
        <f t="shared" si="49"/>
        <v>#DIV/0!</v>
      </c>
      <c r="R253" s="5">
        <f t="shared" si="50"/>
        <v>512.35179999999991</v>
      </c>
      <c r="S253" s="5">
        <f t="shared" si="51"/>
        <v>64.621799999999894</v>
      </c>
      <c r="T253" s="5">
        <f t="shared" si="52"/>
        <v>-17.909200000000002</v>
      </c>
      <c r="U253" s="5">
        <f t="shared" si="53"/>
        <v>-465.63920000000002</v>
      </c>
    </row>
    <row r="254" spans="1:21" x14ac:dyDescent="0.25">
      <c r="A254" s="11" t="s">
        <v>33</v>
      </c>
      <c r="B254" s="6" t="s">
        <v>320</v>
      </c>
      <c r="C254" s="9">
        <v>237.57</v>
      </c>
      <c r="D254" s="6">
        <v>13</v>
      </c>
      <c r="E254" s="8">
        <v>0.04</v>
      </c>
      <c r="F254" s="49">
        <v>0</v>
      </c>
      <c r="G254" s="9">
        <v>2</v>
      </c>
      <c r="H254" s="9">
        <v>375</v>
      </c>
      <c r="I254" s="48">
        <v>0.11</v>
      </c>
      <c r="J254" s="78" cm="1">
        <f t="array" ref="J254">IF(H254&lt;12.5, H254/2,
IF(H254&lt;29, 6.25,
IF(H254&lt;50, 6.5,
IF(H254&lt;79, 6.75,
VALUE(SUBSTITUTE(
INDEX(RESUMO!$J$2:$J$100, MATCH(1,
(D254&gt;=RESUMO!$H$2:$H$100)*(D254&lt;=RESUMO!$I$2:$I$100)*(H254&gt;=RESUMO!$K$2:$K$100)*(H254&lt;=RESUMO!$L$2:$L$100),
0)), "R$ ", ""))
))))</f>
        <v>65.95</v>
      </c>
      <c r="K254" s="9">
        <v>0</v>
      </c>
      <c r="L254" s="10">
        <f t="shared" si="48"/>
        <v>5.5272533333333436E-2</v>
      </c>
      <c r="M254" s="7"/>
      <c r="N254" s="48"/>
      <c r="O254" s="78" cm="1">
        <f t="array" ref="O254">IF(M254&lt;12.5, 0,
IF(M254&lt;29, 6.25,
IF(M254&lt;50, 6.5,
IF(M254&lt;79, 6.75,
VALUE(SUBSTITUTE(
INDEX(RESUMO!$J$2:$J$100, MATCH(1,
(D254&gt;=RESUMO!$H$2:$H$100)*(D254&lt;=RESUMO!$I$2:$I$100)*(M254&gt;=RESUMO!$K$2:$K$100)*(M254&lt;=RESUMO!$L$2:$L$100),
0)), "R$ ", ""))
))))</f>
        <v>0</v>
      </c>
      <c r="P254" s="9"/>
      <c r="Q254" s="10" t="e">
        <f t="shared" si="49"/>
        <v>#DIV/0!</v>
      </c>
      <c r="R254" s="5">
        <f t="shared" si="50"/>
        <v>258.29720000000003</v>
      </c>
      <c r="S254" s="5">
        <f t="shared" si="51"/>
        <v>20.727200000000039</v>
      </c>
      <c r="T254" s="5">
        <f t="shared" si="52"/>
        <v>-9.5028000000000006</v>
      </c>
      <c r="U254" s="5">
        <f t="shared" si="53"/>
        <v>-247.0728</v>
      </c>
    </row>
    <row r="255" spans="1:21" x14ac:dyDescent="0.25">
      <c r="A255" s="11" t="s">
        <v>33</v>
      </c>
      <c r="B255" s="6" t="s">
        <v>321</v>
      </c>
      <c r="C255" s="9">
        <v>344.76</v>
      </c>
      <c r="D255" s="6">
        <v>13</v>
      </c>
      <c r="E255" s="8">
        <v>0.04</v>
      </c>
      <c r="F255" s="49">
        <v>0</v>
      </c>
      <c r="G255" s="9">
        <v>1</v>
      </c>
      <c r="H255" s="9">
        <v>509.9</v>
      </c>
      <c r="I255" s="48">
        <v>0.11</v>
      </c>
      <c r="J255" s="78" cm="1">
        <f t="array" ref="J255">IF(H255&lt;12.5, H255/2,
IF(H255&lt;29, 6.25,
IF(H255&lt;50, 6.5,
IF(H255&lt;79, 6.75,
VALUE(SUBSTITUTE(
INDEX(RESUMO!$J$2:$J$100, MATCH(1,
(D255&gt;=RESUMO!$H$2:$H$100)*(D255&lt;=RESUMO!$I$2:$I$100)*(H255&gt;=RESUMO!$K$2:$K$100)*(H255&lt;=RESUMO!$L$2:$L$100),
0)), "R$ ", ""))
))))</f>
        <v>65.95</v>
      </c>
      <c r="K255" s="9">
        <v>0</v>
      </c>
      <c r="L255" s="10">
        <f t="shared" si="48"/>
        <v>5.7483035889390126E-2</v>
      </c>
      <c r="M255" s="7"/>
      <c r="N255" s="48"/>
      <c r="O255" s="78" cm="1">
        <f t="array" ref="O255">IF(M255&lt;12.5, 0,
IF(M255&lt;29, 6.25,
IF(M255&lt;50, 6.5,
IF(M255&lt;79, 6.75,
VALUE(SUBSTITUTE(
INDEX(RESUMO!$J$2:$J$100, MATCH(1,
(D255&gt;=RESUMO!$H$2:$H$100)*(D255&lt;=RESUMO!$I$2:$I$100)*(M255&gt;=RESUMO!$K$2:$K$100)*(M255&lt;=RESUMO!$L$2:$L$100),
0)), "R$ ", ""))
))))</f>
        <v>0</v>
      </c>
      <c r="P255" s="9"/>
      <c r="Q255" s="10" t="e">
        <f t="shared" si="49"/>
        <v>#DIV/0!</v>
      </c>
      <c r="R255" s="5">
        <f t="shared" si="50"/>
        <v>374.07060000000001</v>
      </c>
      <c r="S255" s="5">
        <f t="shared" si="51"/>
        <v>29.310600000000022</v>
      </c>
      <c r="T255" s="5">
        <f t="shared" si="52"/>
        <v>-13.7904</v>
      </c>
      <c r="U255" s="5">
        <f t="shared" si="53"/>
        <v>-358.55039999999997</v>
      </c>
    </row>
    <row r="256" spans="1:21" x14ac:dyDescent="0.25">
      <c r="A256" s="11" t="s">
        <v>33</v>
      </c>
      <c r="B256" s="6" t="s">
        <v>322</v>
      </c>
      <c r="C256" s="9">
        <v>389.08</v>
      </c>
      <c r="D256" s="6">
        <v>13</v>
      </c>
      <c r="E256" s="8">
        <v>0.04</v>
      </c>
      <c r="F256" s="49">
        <v>0</v>
      </c>
      <c r="G256" s="9">
        <v>2</v>
      </c>
      <c r="H256" s="9">
        <v>529.9</v>
      </c>
      <c r="I256" s="48">
        <v>0.11</v>
      </c>
      <c r="J256" s="78" cm="1">
        <f t="array" ref="J256">IF(H256&lt;12.5, H256/2,
IF(H256&lt;29, 6.25,
IF(H256&lt;50, 6.5,
IF(H256&lt;79, 6.75,
VALUE(SUBSTITUTE(
INDEX(RESUMO!$J$2:$J$100, MATCH(1,
(D256&gt;=RESUMO!$H$2:$H$100)*(D256&lt;=RESUMO!$I$2:$I$100)*(H256&gt;=RESUMO!$K$2:$K$100)*(H256&lt;=RESUMO!$L$2:$L$100),
0)), "R$ ", ""))
))))</f>
        <v>65.95</v>
      </c>
      <c r="K256" s="9">
        <v>0</v>
      </c>
      <c r="L256" s="10">
        <f t="shared" si="48"/>
        <v>1.9207397622193292E-3</v>
      </c>
      <c r="M256" s="7"/>
      <c r="N256" s="48"/>
      <c r="O256" s="78" cm="1">
        <f t="array" ref="O256">IF(M256&lt;12.5, 0,
IF(M256&lt;29, 6.25,
IF(M256&lt;50, 6.5,
IF(M256&lt;79, 6.75,
VALUE(SUBSTITUTE(
INDEX(RESUMO!$J$2:$J$100, MATCH(1,
(D256&gt;=RESUMO!$H$2:$H$100)*(D256&lt;=RESUMO!$I$2:$I$100)*(M256&gt;=RESUMO!$K$2:$K$100)*(M256&lt;=RESUMO!$L$2:$L$100),
0)), "R$ ", ""))
))))</f>
        <v>0</v>
      </c>
      <c r="P256" s="9"/>
      <c r="Q256" s="10" t="e">
        <f t="shared" si="49"/>
        <v>#DIV/0!</v>
      </c>
      <c r="R256" s="5">
        <f t="shared" si="50"/>
        <v>390.09780000000001</v>
      </c>
      <c r="S256" s="5">
        <f t="shared" si="51"/>
        <v>1.0178000000000225</v>
      </c>
      <c r="T256" s="5">
        <f t="shared" si="52"/>
        <v>-15.5632</v>
      </c>
      <c r="U256" s="5">
        <f t="shared" si="53"/>
        <v>-404.64319999999998</v>
      </c>
    </row>
    <row r="257" spans="1:21" x14ac:dyDescent="0.25">
      <c r="A257" s="11" t="s">
        <v>33</v>
      </c>
      <c r="B257" s="6" t="s">
        <v>323</v>
      </c>
      <c r="C257" s="9">
        <v>566.21</v>
      </c>
      <c r="D257" s="6">
        <v>13</v>
      </c>
      <c r="E257" s="8">
        <v>0.04</v>
      </c>
      <c r="F257" s="49">
        <v>0</v>
      </c>
      <c r="G257" s="9">
        <v>2</v>
      </c>
      <c r="H257" s="9">
        <v>745</v>
      </c>
      <c r="I257" s="48">
        <v>0.115</v>
      </c>
      <c r="J257" s="78" cm="1">
        <f t="array" ref="J257">IF(H257&lt;12.5, H257/2,
IF(H257&lt;29, 6.25,
IF(H257&lt;50, 6.5,
IF(H257&lt;79, 6.75,
VALUE(SUBSTITUTE(
INDEX(RESUMO!$J$2:$J$100, MATCH(1,
(D257&gt;=RESUMO!$H$2:$H$100)*(D257&lt;=RESUMO!$I$2:$I$100)*(H257&gt;=RESUMO!$K$2:$K$100)*(H257&lt;=RESUMO!$L$2:$L$100),
0)), "R$ ", ""))
))))</f>
        <v>65.95</v>
      </c>
      <c r="K257" s="9">
        <v>0</v>
      </c>
      <c r="L257" s="10">
        <f t="shared" si="48"/>
        <v>6.06255033557037E-3</v>
      </c>
      <c r="M257" s="7"/>
      <c r="N257" s="48"/>
      <c r="O257" s="78" cm="1">
        <f t="array" ref="O257">IF(M257&lt;12.5, 0,
IF(M257&lt;29, 6.25,
IF(M257&lt;50, 6.5,
IF(M257&lt;79, 6.75,
VALUE(SUBSTITUTE(
INDEX(RESUMO!$J$2:$J$100, MATCH(1,
(D257&gt;=RESUMO!$H$2:$H$100)*(D257&lt;=RESUMO!$I$2:$I$100)*(M257&gt;=RESUMO!$K$2:$K$100)*(M257&lt;=RESUMO!$L$2:$L$100),
0)), "R$ ", ""))
))))</f>
        <v>0</v>
      </c>
      <c r="P257" s="9"/>
      <c r="Q257" s="10" t="e">
        <f t="shared" si="49"/>
        <v>#DIV/0!</v>
      </c>
      <c r="R257" s="5">
        <f t="shared" si="50"/>
        <v>570.72659999999996</v>
      </c>
      <c r="S257" s="5">
        <f t="shared" si="51"/>
        <v>4.5165999999999258</v>
      </c>
      <c r="T257" s="5">
        <f t="shared" si="52"/>
        <v>-22.648400000000002</v>
      </c>
      <c r="U257" s="5">
        <f t="shared" si="53"/>
        <v>-588.85840000000007</v>
      </c>
    </row>
    <row r="258" spans="1:21" x14ac:dyDescent="0.25">
      <c r="A258" s="11" t="s">
        <v>25</v>
      </c>
      <c r="B258" s="6" t="s">
        <v>324</v>
      </c>
      <c r="C258" s="9">
        <v>349.78</v>
      </c>
      <c r="D258" s="6">
        <v>9</v>
      </c>
      <c r="E258" s="8">
        <v>0.04</v>
      </c>
      <c r="F258" s="49">
        <v>0</v>
      </c>
      <c r="G258" s="9">
        <v>2</v>
      </c>
      <c r="H258" s="9">
        <v>486</v>
      </c>
      <c r="I258" s="48">
        <v>0.11</v>
      </c>
      <c r="J258" s="78" cm="1">
        <f t="array" ref="J258">IF(H258&lt;12.5, H258/2,
IF(H258&lt;29, 6.25,
IF(H258&lt;50, 6.5,
IF(H258&lt;79, 6.75,
VALUE(SUBSTITUTE(
INDEX(RESUMO!$J$2:$J$100, MATCH(1,
(D258&gt;=RESUMO!$H$2:$H$100)*(D258&lt;=RESUMO!$I$2:$I$100)*(H258&gt;=RESUMO!$K$2:$K$100)*(H258&lt;=RESUMO!$L$2:$L$100),
0)), "R$ ", ""))
))))</f>
        <v>44.45</v>
      </c>
      <c r="K258" s="9">
        <v>0</v>
      </c>
      <c r="L258" s="10">
        <f t="shared" si="48"/>
        <v>5.0038683127572155E-2</v>
      </c>
      <c r="M258" s="7"/>
      <c r="N258" s="48"/>
      <c r="O258" s="78" cm="1">
        <f t="array" ref="O258">IF(M258&lt;12.5, 0,
IF(M258&lt;29, 6.25,
IF(M258&lt;50, 6.5,
IF(M258&lt;79, 6.75,
VALUE(SUBSTITUTE(
INDEX(RESUMO!$J$2:$J$100, MATCH(1,
(D258&gt;=RESUMO!$H$2:$H$100)*(D258&lt;=RESUMO!$I$2:$I$100)*(M258&gt;=RESUMO!$K$2:$K$100)*(M258&lt;=RESUMO!$L$2:$L$100),
0)), "R$ ", ""))
))))</f>
        <v>0</v>
      </c>
      <c r="P258" s="9"/>
      <c r="Q258" s="10" t="e">
        <f t="shared" si="49"/>
        <v>#DIV/0!</v>
      </c>
      <c r="R258" s="5">
        <f t="shared" si="50"/>
        <v>374.09880000000004</v>
      </c>
      <c r="S258" s="5">
        <f t="shared" si="51"/>
        <v>24.318800000000067</v>
      </c>
      <c r="T258" s="5">
        <f t="shared" si="52"/>
        <v>-13.991199999999999</v>
      </c>
      <c r="U258" s="5">
        <f t="shared" si="53"/>
        <v>-363.77119999999996</v>
      </c>
    </row>
    <row r="259" spans="1:21" x14ac:dyDescent="0.25">
      <c r="A259" s="11" t="s">
        <v>25</v>
      </c>
      <c r="B259" s="6" t="s">
        <v>325</v>
      </c>
      <c r="C259" s="9">
        <v>265.10000000000002</v>
      </c>
      <c r="D259" s="6">
        <v>3</v>
      </c>
      <c r="E259" s="8">
        <v>0.04</v>
      </c>
      <c r="F259" s="49">
        <v>0</v>
      </c>
      <c r="G259" s="9">
        <v>2</v>
      </c>
      <c r="H259" s="9">
        <v>359</v>
      </c>
      <c r="I259" s="48">
        <v>0.11</v>
      </c>
      <c r="J259" s="78" cm="1">
        <f t="array" ref="J259">IF(H259&lt;12.5, H259/2,
IF(H259&lt;29, 6.25,
IF(H259&lt;50, 6.5,
IF(H259&lt;79, 6.75,
VALUE(SUBSTITUTE(
INDEX(RESUMO!$J$2:$J$100, MATCH(1,
(D259&gt;=RESUMO!$H$2:$H$100)*(D259&lt;=RESUMO!$I$2:$I$100)*(H259&gt;=RESUMO!$K$2:$K$100)*(H259&lt;=RESUMO!$L$2:$L$100),
0)), "R$ ", ""))
))))</f>
        <v>24.95</v>
      </c>
      <c r="K259" s="9">
        <v>0</v>
      </c>
      <c r="L259" s="10">
        <f t="shared" si="48"/>
        <v>5.2523676880222823E-2</v>
      </c>
      <c r="M259" s="7"/>
      <c r="N259" s="48"/>
      <c r="O259" s="78" cm="1">
        <f t="array" ref="O259">IF(M259&lt;12.5, 0,
IF(M259&lt;29, 6.25,
IF(M259&lt;50, 6.5,
IF(M259&lt;79, 6.75,
VALUE(SUBSTITUTE(
INDEX(RESUMO!$J$2:$J$100, MATCH(1,
(D259&gt;=RESUMO!$H$2:$H$100)*(D259&lt;=RESUMO!$I$2:$I$100)*(M259&gt;=RESUMO!$K$2:$K$100)*(M259&lt;=RESUMO!$L$2:$L$100),
0)), "R$ ", ""))
))))</f>
        <v>0</v>
      </c>
      <c r="P259" s="9"/>
      <c r="Q259" s="10" t="e">
        <f t="shared" si="49"/>
        <v>#DIV/0!</v>
      </c>
      <c r="R259" s="5">
        <f t="shared" si="50"/>
        <v>283.95600000000002</v>
      </c>
      <c r="S259" s="5">
        <f t="shared" si="51"/>
        <v>18.855999999999995</v>
      </c>
      <c r="T259" s="5">
        <f t="shared" si="52"/>
        <v>-10.604000000000001</v>
      </c>
      <c r="U259" s="5">
        <f t="shared" si="53"/>
        <v>-275.70400000000001</v>
      </c>
    </row>
    <row r="260" spans="1:21" x14ac:dyDescent="0.25">
      <c r="A260" s="11" t="s">
        <v>33</v>
      </c>
      <c r="B260" s="6" t="s">
        <v>326</v>
      </c>
      <c r="C260" s="9">
        <v>216.17</v>
      </c>
      <c r="D260" s="6">
        <v>3</v>
      </c>
      <c r="E260" s="8">
        <v>0.04</v>
      </c>
      <c r="F260" s="49">
        <v>0</v>
      </c>
      <c r="G260" s="9">
        <v>2</v>
      </c>
      <c r="H260" s="9">
        <v>282</v>
      </c>
      <c r="I260" s="48">
        <v>0.11</v>
      </c>
      <c r="J260" s="78" cm="1">
        <f t="array" ref="J260">IF(H260&lt;12.5, H260/2,
IF(H260&lt;29, 6.25,
IF(H260&lt;50, 6.5,
IF(H260&lt;79, 6.75,
VALUE(SUBSTITUTE(
INDEX(RESUMO!$J$2:$J$100, MATCH(1,
(D260&gt;=RESUMO!$H$2:$H$100)*(D260&lt;=RESUMO!$I$2:$I$100)*(H260&gt;=RESUMO!$K$2:$K$100)*(H260&lt;=RESUMO!$L$2:$L$100),
0)), "R$ ", ""))
))))</f>
        <v>24.95</v>
      </c>
      <c r="K260" s="9">
        <v>0</v>
      </c>
      <c r="L260" s="10">
        <f t="shared" si="48"/>
        <v>4.3021276595744699E-3</v>
      </c>
      <c r="M260" s="7"/>
      <c r="N260" s="48"/>
      <c r="O260" s="78" cm="1">
        <f t="array" ref="O260">IF(M260&lt;12.5, 0,
IF(M260&lt;29, 6.25,
IF(M260&lt;50, 6.5,
IF(M260&lt;79, 6.75,
VALUE(SUBSTITUTE(
INDEX(RESUMO!$J$2:$J$100, MATCH(1,
(D260&gt;=RESUMO!$H$2:$H$100)*(D260&lt;=RESUMO!$I$2:$I$100)*(M260&gt;=RESUMO!$K$2:$K$100)*(M260&lt;=RESUMO!$L$2:$L$100),
0)), "R$ ", ""))
))))</f>
        <v>0</v>
      </c>
      <c r="P260" s="9"/>
      <c r="Q260" s="10" t="e">
        <f t="shared" si="49"/>
        <v>#DIV/0!</v>
      </c>
      <c r="R260" s="5">
        <f t="shared" si="50"/>
        <v>217.38319999999999</v>
      </c>
      <c r="S260" s="5">
        <f t="shared" si="51"/>
        <v>1.2132000000000005</v>
      </c>
      <c r="T260" s="5">
        <f t="shared" si="52"/>
        <v>-8.6467999999999989</v>
      </c>
      <c r="U260" s="5">
        <f t="shared" si="53"/>
        <v>-224.8168</v>
      </c>
    </row>
    <row r="261" spans="1:21" x14ac:dyDescent="0.25">
      <c r="A261" s="11" t="s">
        <v>33</v>
      </c>
      <c r="B261" s="6" t="s">
        <v>327</v>
      </c>
      <c r="C261" s="9">
        <v>340.69</v>
      </c>
      <c r="D261" s="6">
        <v>70</v>
      </c>
      <c r="E261" s="8">
        <v>0.04</v>
      </c>
      <c r="F261" s="49">
        <v>0</v>
      </c>
      <c r="G261" s="9">
        <v>2</v>
      </c>
      <c r="H261" s="9">
        <v>566</v>
      </c>
      <c r="I261" s="48">
        <v>0.11</v>
      </c>
      <c r="J261" s="78" cm="1">
        <f t="array" ref="J261">IF(H261&lt;12.5, H261/2,
IF(H261&lt;29, 6.25,
IF(H261&lt;50, 6.5,
IF(H261&lt;79, 6.75,
VALUE(SUBSTITUTE(
INDEX(RESUMO!$J$2:$J$100, MATCH(1,
(D261&gt;=RESUMO!$H$2:$H$100)*(D261&lt;=RESUMO!$I$2:$I$100)*(H261&gt;=RESUMO!$K$2:$K$100)*(H261&lt;=RESUMO!$L$2:$L$100),
0)), "R$ ", ""))
))))</f>
        <v>120.45</v>
      </c>
      <c r="K261" s="9">
        <v>0</v>
      </c>
      <c r="L261" s="10">
        <f t="shared" si="48"/>
        <v>5.118798586572447E-2</v>
      </c>
      <c r="M261" s="7"/>
      <c r="N261" s="48"/>
      <c r="O261" s="78" cm="1">
        <f t="array" ref="O261">IF(M261&lt;12.5, 0,
IF(M261&lt;29, 6.25,
IF(M261&lt;50, 6.5,
IF(M261&lt;79, 6.75,
VALUE(SUBSTITUTE(
INDEX(RESUMO!$J$2:$J$100, MATCH(1,
(D261&gt;=RESUMO!$H$2:$H$100)*(D261&lt;=RESUMO!$I$2:$I$100)*(M261&gt;=RESUMO!$K$2:$K$100)*(M261&lt;=RESUMO!$L$2:$L$100),
0)), "R$ ", ""))
))))</f>
        <v>0</v>
      </c>
      <c r="P261" s="9"/>
      <c r="Q261" s="10" t="e">
        <f t="shared" si="49"/>
        <v>#DIV/0!</v>
      </c>
      <c r="R261" s="5">
        <f t="shared" si="50"/>
        <v>369.66240000000005</v>
      </c>
      <c r="S261" s="5">
        <f t="shared" si="51"/>
        <v>28.97240000000005</v>
      </c>
      <c r="T261" s="5">
        <f t="shared" si="52"/>
        <v>-13.627600000000001</v>
      </c>
      <c r="U261" s="5">
        <f t="shared" si="53"/>
        <v>-354.31759999999997</v>
      </c>
    </row>
    <row r="262" spans="1:21" x14ac:dyDescent="0.25">
      <c r="A262" s="11" t="s">
        <v>33</v>
      </c>
      <c r="B262" s="6" t="s">
        <v>328</v>
      </c>
      <c r="C262" s="9">
        <v>340.69</v>
      </c>
      <c r="D262" s="6">
        <v>70</v>
      </c>
      <c r="E262" s="8">
        <v>0.04</v>
      </c>
      <c r="F262" s="49">
        <v>0</v>
      </c>
      <c r="G262" s="9">
        <v>2</v>
      </c>
      <c r="H262" s="9">
        <v>566</v>
      </c>
      <c r="I262" s="48">
        <v>0.11</v>
      </c>
      <c r="J262" s="78" cm="1">
        <f t="array" ref="J262">IF(H262&lt;12.5, H262/2,
IF(H262&lt;29, 6.25,
IF(H262&lt;50, 6.5,
IF(H262&lt;79, 6.75,
VALUE(SUBSTITUTE(
INDEX(RESUMO!$J$2:$J$100, MATCH(1,
(D262&gt;=RESUMO!$H$2:$H$100)*(D262&lt;=RESUMO!$I$2:$I$100)*(H262&gt;=RESUMO!$K$2:$K$100)*(H262&lt;=RESUMO!$L$2:$L$100),
0)), "R$ ", ""))
))))</f>
        <v>120.45</v>
      </c>
      <c r="K262" s="9">
        <v>0</v>
      </c>
      <c r="L262" s="10">
        <f t="shared" si="48"/>
        <v>5.118798586572447E-2</v>
      </c>
      <c r="M262" s="7"/>
      <c r="N262" s="48"/>
      <c r="O262" s="78" cm="1">
        <f t="array" ref="O262">IF(M262&lt;12.5, 0,
IF(M262&lt;29, 6.25,
IF(M262&lt;50, 6.5,
IF(M262&lt;79, 6.75,
VALUE(SUBSTITUTE(
INDEX(RESUMO!$J$2:$J$100, MATCH(1,
(D262&gt;=RESUMO!$H$2:$H$100)*(D262&lt;=RESUMO!$I$2:$I$100)*(M262&gt;=RESUMO!$K$2:$K$100)*(M262&lt;=RESUMO!$L$2:$L$100),
0)), "R$ ", ""))
))))</f>
        <v>0</v>
      </c>
      <c r="P262" s="9"/>
      <c r="Q262" s="10" t="e">
        <f t="shared" si="49"/>
        <v>#DIV/0!</v>
      </c>
      <c r="R262" s="5">
        <f t="shared" si="50"/>
        <v>369.66240000000005</v>
      </c>
      <c r="S262" s="5">
        <f t="shared" si="51"/>
        <v>28.97240000000005</v>
      </c>
      <c r="T262" s="5">
        <f t="shared" si="52"/>
        <v>-13.627600000000001</v>
      </c>
      <c r="U262" s="5">
        <f t="shared" si="53"/>
        <v>-354.31759999999997</v>
      </c>
    </row>
    <row r="263" spans="1:21" x14ac:dyDescent="0.25">
      <c r="A263" s="11" t="s">
        <v>33</v>
      </c>
      <c r="B263" s="6" t="s">
        <v>309</v>
      </c>
      <c r="C263" s="9">
        <v>333.05</v>
      </c>
      <c r="D263" s="6">
        <v>70</v>
      </c>
      <c r="E263" s="8">
        <v>0.04</v>
      </c>
      <c r="F263" s="49">
        <v>0</v>
      </c>
      <c r="G263" s="9">
        <v>2</v>
      </c>
      <c r="H263" s="9">
        <v>525</v>
      </c>
      <c r="I263" s="48">
        <v>0.11</v>
      </c>
      <c r="J263" s="78" cm="1">
        <f t="array" ref="J263">IF(H263&lt;12.5, H263/2,
IF(H263&lt;29, 6.25,
IF(H263&lt;50, 6.5,
IF(H263&lt;79, 6.75,
VALUE(SUBSTITUTE(
INDEX(RESUMO!$J$2:$J$100, MATCH(1,
(D263&gt;=RESUMO!$H$2:$H$100)*(D263&lt;=RESUMO!$I$2:$I$100)*(H263&gt;=RESUMO!$K$2:$K$100)*(H263&lt;=RESUMO!$L$2:$L$100),
0)), "R$ ", ""))
))))</f>
        <v>120.45</v>
      </c>
      <c r="K263" s="9">
        <v>0</v>
      </c>
      <c r="L263" s="10">
        <f t="shared" si="48"/>
        <v>8.1523809523809001E-4</v>
      </c>
      <c r="M263" s="7"/>
      <c r="N263" s="48"/>
      <c r="O263" s="78" cm="1">
        <f t="array" ref="O263">IF(M263&lt;12.5, 0,
IF(M263&lt;29, 6.25,
IF(M263&lt;50, 6.5,
IF(M263&lt;79, 6.75,
VALUE(SUBSTITUTE(
INDEX(RESUMO!$J$2:$J$100, MATCH(1,
(D263&gt;=RESUMO!$H$2:$H$100)*(D263&lt;=RESUMO!$I$2:$I$100)*(M263&gt;=RESUMO!$K$2:$K$100)*(M263&lt;=RESUMO!$L$2:$L$100),
0)), "R$ ", ""))
))))</f>
        <v>0</v>
      </c>
      <c r="P263" s="9"/>
      <c r="Q263" s="10" t="e">
        <f t="shared" si="49"/>
        <v>#DIV/0!</v>
      </c>
      <c r="R263" s="5">
        <f t="shared" si="50"/>
        <v>333.47800000000001</v>
      </c>
      <c r="S263" s="5">
        <f t="shared" si="51"/>
        <v>0.42799999999999727</v>
      </c>
      <c r="T263" s="5">
        <f t="shared" si="52"/>
        <v>-13.322000000000001</v>
      </c>
      <c r="U263" s="5">
        <f t="shared" si="53"/>
        <v>-346.37200000000001</v>
      </c>
    </row>
    <row r="264" spans="1:21" x14ac:dyDescent="0.25">
      <c r="A264" s="11" t="s">
        <v>25</v>
      </c>
      <c r="B264" s="6" t="s">
        <v>332</v>
      </c>
      <c r="C264" s="9">
        <v>236.4</v>
      </c>
      <c r="D264" s="6">
        <v>9</v>
      </c>
      <c r="E264" s="8">
        <v>0.04</v>
      </c>
      <c r="F264" s="49">
        <v>0</v>
      </c>
      <c r="G264" s="9">
        <v>2</v>
      </c>
      <c r="H264" s="9">
        <v>329</v>
      </c>
      <c r="I264" s="48">
        <v>0.11</v>
      </c>
      <c r="J264" s="78" cm="1">
        <f t="array" ref="J264">IF(H264&lt;12.5, H264/2,
IF(H264&lt;29, 6.25,
IF(H264&lt;50, 6.5,
IF(H264&lt;79, 6.75,
VALUE(SUBSTITUTE(
INDEX(RESUMO!$J$2:$J$100, MATCH(1,
(D264&gt;=RESUMO!$H$2:$H$100)*(D264&lt;=RESUMO!$I$2:$I$100)*(H264&gt;=RESUMO!$K$2:$K$100)*(H264&lt;=RESUMO!$L$2:$L$100),
0)), "R$ ", ""))
))))</f>
        <v>44.45</v>
      </c>
      <c r="K264" s="9">
        <v>0</v>
      </c>
      <c r="L264" s="10">
        <f t="shared" si="48"/>
        <v>7.6109422492401796E-3</v>
      </c>
      <c r="M264" s="7"/>
      <c r="N264" s="48"/>
      <c r="O264" s="78" cm="1">
        <f t="array" ref="O264">IF(M264&lt;12.5, 0,
IF(M264&lt;29, 6.25,
IF(M264&lt;50, 6.5,
IF(M264&lt;79, 6.75,
VALUE(SUBSTITUTE(
INDEX(RESUMO!$J$2:$J$100, MATCH(1,
(D264&gt;=RESUMO!$H$2:$H$100)*(D264&lt;=RESUMO!$I$2:$I$100)*(M264&gt;=RESUMO!$K$2:$K$100)*(M264&lt;=RESUMO!$L$2:$L$100),
0)), "R$ ", ""))
))))</f>
        <v>0</v>
      </c>
      <c r="P264" s="9"/>
      <c r="Q264" s="10" t="e">
        <f t="shared" si="49"/>
        <v>#DIV/0!</v>
      </c>
      <c r="R264" s="5">
        <f t="shared" si="50"/>
        <v>238.90400000000002</v>
      </c>
      <c r="S264" s="5">
        <f t="shared" si="51"/>
        <v>2.5040000000000191</v>
      </c>
      <c r="T264" s="5">
        <f t="shared" si="52"/>
        <v>-9.4560000000000013</v>
      </c>
      <c r="U264" s="5">
        <f t="shared" si="53"/>
        <v>-245.85599999999999</v>
      </c>
    </row>
    <row r="265" spans="1:21" x14ac:dyDescent="0.25">
      <c r="A265" s="11" t="s">
        <v>25</v>
      </c>
      <c r="B265" s="6" t="s">
        <v>333</v>
      </c>
      <c r="C265" s="9">
        <v>246.25</v>
      </c>
      <c r="D265" s="6">
        <v>9</v>
      </c>
      <c r="E265" s="8">
        <v>0.04</v>
      </c>
      <c r="F265" s="49">
        <v>0</v>
      </c>
      <c r="G265" s="9">
        <v>2</v>
      </c>
      <c r="H265" s="9">
        <v>339.9</v>
      </c>
      <c r="I265" s="48">
        <v>0.11</v>
      </c>
      <c r="J265" s="78" cm="1">
        <f t="array" ref="J265">IF(H265&lt;12.5, H265/2,
IF(H265&lt;29, 6.25,
IF(H265&lt;50, 6.5,
IF(H265&lt;79, 6.75,
VALUE(SUBSTITUTE(
INDEX(RESUMO!$J$2:$J$100, MATCH(1,
(D265&gt;=RESUMO!$H$2:$H$100)*(D265&lt;=RESUMO!$I$2:$I$100)*(H265&gt;=RESUMO!$K$2:$K$100)*(H265&lt;=RESUMO!$L$2:$L$100),
0)), "R$ ", ""))
))))</f>
        <v>44.45</v>
      </c>
      <c r="K265" s="9">
        <v>0</v>
      </c>
      <c r="L265" s="10">
        <f t="shared" si="48"/>
        <v>5.7693439246836844E-3</v>
      </c>
      <c r="M265" s="7"/>
      <c r="N265" s="48"/>
      <c r="O265" s="78" cm="1">
        <f t="array" ref="O265">IF(M265&lt;12.5, 0,
IF(M265&lt;29, 6.25,
IF(M265&lt;50, 6.5,
IF(M265&lt;79, 6.75,
VALUE(SUBSTITUTE(
INDEX(RESUMO!$J$2:$J$100, MATCH(1,
(D265&gt;=RESUMO!$H$2:$H$100)*(D265&lt;=RESUMO!$I$2:$I$100)*(M265&gt;=RESUMO!$K$2:$K$100)*(M265&lt;=RESUMO!$L$2:$L$100),
0)), "R$ ", ""))
))))</f>
        <v>0</v>
      </c>
      <c r="P265" s="9"/>
      <c r="Q265" s="10" t="e">
        <f t="shared" si="49"/>
        <v>#DIV/0!</v>
      </c>
      <c r="R265" s="5">
        <f t="shared" si="50"/>
        <v>248.21099999999998</v>
      </c>
      <c r="S265" s="5">
        <f t="shared" si="51"/>
        <v>1.9609999999999843</v>
      </c>
      <c r="T265" s="5">
        <f t="shared" si="52"/>
        <v>-9.85</v>
      </c>
      <c r="U265" s="5">
        <f t="shared" si="53"/>
        <v>-256.10000000000002</v>
      </c>
    </row>
    <row r="266" spans="1:21" x14ac:dyDescent="0.25">
      <c r="A266" s="11" t="s">
        <v>33</v>
      </c>
      <c r="B266" s="6" t="s">
        <v>329</v>
      </c>
      <c r="C266" s="9">
        <v>335.06</v>
      </c>
      <c r="D266" s="6">
        <v>9</v>
      </c>
      <c r="E266" s="8">
        <v>0.04</v>
      </c>
      <c r="F266" s="49">
        <v>0</v>
      </c>
      <c r="G266" s="9">
        <v>2</v>
      </c>
      <c r="H266" s="9">
        <v>499</v>
      </c>
      <c r="I266" s="48">
        <v>0.11</v>
      </c>
      <c r="J266" s="78" cm="1">
        <f t="array" ref="J266">IF(H266&lt;12.5, H266/2,
IF(H266&lt;29, 6.25,
IF(H266&lt;50, 6.5,
IF(H266&lt;79, 6.75,
VALUE(SUBSTITUTE(
INDEX(RESUMO!$J$2:$J$100, MATCH(1,
(D266&gt;=RESUMO!$H$2:$H$100)*(D266&lt;=RESUMO!$I$2:$I$100)*(H266&gt;=RESUMO!$K$2:$K$100)*(H266&lt;=RESUMO!$L$2:$L$100),
0)), "R$ ", ""))
))))</f>
        <v>44.45</v>
      </c>
      <c r="K266" s="9">
        <v>0</v>
      </c>
      <c r="L266" s="10">
        <f t="shared" si="48"/>
        <v>0.10260040080160325</v>
      </c>
      <c r="M266" s="7"/>
      <c r="N266" s="48"/>
      <c r="O266" s="78" cm="1">
        <f t="array" ref="O266">IF(M266&lt;12.5, 0,
IF(M266&lt;29, 6.25,
IF(M266&lt;50, 6.5,
IF(M266&lt;79, 6.75,
VALUE(SUBSTITUTE(
INDEX(RESUMO!$J$2:$J$100, MATCH(1,
(D266&gt;=RESUMO!$H$2:$H$100)*(D266&lt;=RESUMO!$I$2:$I$100)*(M266&gt;=RESUMO!$K$2:$K$100)*(M266&lt;=RESUMO!$L$2:$L$100),
0)), "R$ ", ""))
))))</f>
        <v>0</v>
      </c>
      <c r="P266" s="9"/>
      <c r="Q266" s="10" t="e">
        <f t="shared" si="49"/>
        <v>#DIV/0!</v>
      </c>
      <c r="R266" s="5">
        <f t="shared" si="50"/>
        <v>386.25760000000002</v>
      </c>
      <c r="S266" s="5">
        <f t="shared" si="51"/>
        <v>51.197600000000023</v>
      </c>
      <c r="T266" s="5">
        <f t="shared" si="52"/>
        <v>-13.4024</v>
      </c>
      <c r="U266" s="5">
        <f t="shared" si="53"/>
        <v>-348.4624</v>
      </c>
    </row>
    <row r="267" spans="1:21" x14ac:dyDescent="0.25">
      <c r="A267" s="11" t="s">
        <v>25</v>
      </c>
      <c r="B267" s="6" t="s">
        <v>331</v>
      </c>
      <c r="C267" s="9">
        <v>413.7</v>
      </c>
      <c r="D267" s="6">
        <v>13</v>
      </c>
      <c r="E267" s="8">
        <v>0.04</v>
      </c>
      <c r="F267" s="49">
        <v>0</v>
      </c>
      <c r="G267" s="9">
        <v>2</v>
      </c>
      <c r="H267" s="9">
        <v>591</v>
      </c>
      <c r="I267" s="48">
        <v>0.11</v>
      </c>
      <c r="J267" s="78" cm="1">
        <f t="array" ref="J267">IF(H267&lt;12.5, H267/2,
IF(H267&lt;29, 6.25,
IF(H267&lt;50, 6.5,
IF(H267&lt;79, 6.75,
VALUE(SUBSTITUTE(
INDEX(RESUMO!$J$2:$J$100, MATCH(1,
(D267&gt;=RESUMO!$H$2:$H$100)*(D267&lt;=RESUMO!$I$2:$I$100)*(H267&gt;=RESUMO!$K$2:$K$100)*(H267&lt;=RESUMO!$L$2:$L$100),
0)), "R$ ", ""))
))))</f>
        <v>65.95</v>
      </c>
      <c r="K267" s="9">
        <v>0</v>
      </c>
      <c r="L267" s="10">
        <f t="shared" si="48"/>
        <v>5.0409475465313082E-2</v>
      </c>
      <c r="M267" s="7"/>
      <c r="N267" s="48"/>
      <c r="O267" s="78" cm="1">
        <f t="array" ref="O267">IF(M267&lt;12.5, 0,
IF(M267&lt;29, 6.25,
IF(M267&lt;50, 6.5,
IF(M267&lt;79, 6.75,
VALUE(SUBSTITUTE(
INDEX(RESUMO!$J$2:$J$100, MATCH(1,
(D267&gt;=RESUMO!$H$2:$H$100)*(D267&lt;=RESUMO!$I$2:$I$100)*(M267&gt;=RESUMO!$K$2:$K$100)*(M267&lt;=RESUMO!$L$2:$L$100),
0)), "R$ ", ""))
))))</f>
        <v>0</v>
      </c>
      <c r="P267" s="9"/>
      <c r="Q267" s="10" t="e">
        <f t="shared" si="49"/>
        <v>#DIV/0!</v>
      </c>
      <c r="R267" s="5">
        <f t="shared" si="50"/>
        <v>443.49200000000002</v>
      </c>
      <c r="S267" s="5">
        <f t="shared" si="51"/>
        <v>29.79200000000003</v>
      </c>
      <c r="T267" s="5">
        <f t="shared" si="52"/>
        <v>-16.547999999999998</v>
      </c>
      <c r="U267" s="5">
        <f t="shared" si="53"/>
        <v>-430.24799999999999</v>
      </c>
    </row>
    <row r="268" spans="1:21" x14ac:dyDescent="0.25">
      <c r="A268" s="11" t="s">
        <v>25</v>
      </c>
      <c r="B268" s="6" t="s">
        <v>330</v>
      </c>
      <c r="C268" s="9">
        <v>413.7</v>
      </c>
      <c r="D268" s="6">
        <v>13</v>
      </c>
      <c r="E268" s="8">
        <v>0.04</v>
      </c>
      <c r="F268" s="49">
        <v>0</v>
      </c>
      <c r="G268" s="9">
        <v>2</v>
      </c>
      <c r="H268" s="9">
        <v>591</v>
      </c>
      <c r="I268" s="48">
        <v>0.11</v>
      </c>
      <c r="J268" s="78" cm="1">
        <f t="array" ref="J268">IF(H268&lt;12.5, H268/2,
IF(H268&lt;29, 6.25,
IF(H268&lt;50, 6.5,
IF(H268&lt;79, 6.75,
VALUE(SUBSTITUTE(
INDEX(RESUMO!$J$2:$J$100, MATCH(1,
(D268&gt;=RESUMO!$H$2:$H$100)*(D268&lt;=RESUMO!$I$2:$I$100)*(H268&gt;=RESUMO!$K$2:$K$100)*(H268&lt;=RESUMO!$L$2:$L$100),
0)), "R$ ", ""))
))))</f>
        <v>65.95</v>
      </c>
      <c r="K268" s="9">
        <v>0</v>
      </c>
      <c r="L268" s="10">
        <f t="shared" si="48"/>
        <v>5.0409475465313082E-2</v>
      </c>
      <c r="M268" s="7"/>
      <c r="N268" s="48"/>
      <c r="O268" s="78" cm="1">
        <f t="array" ref="O268">IF(M268&lt;12.5, 0,
IF(M268&lt;29, 6.25,
IF(M268&lt;50, 6.5,
IF(M268&lt;79, 6.75,
VALUE(SUBSTITUTE(
INDEX(RESUMO!$J$2:$J$100, MATCH(1,
(D268&gt;=RESUMO!$H$2:$H$100)*(D268&lt;=RESUMO!$I$2:$I$100)*(M268&gt;=RESUMO!$K$2:$K$100)*(M268&lt;=RESUMO!$L$2:$L$100),
0)), "R$ ", ""))
))))</f>
        <v>0</v>
      </c>
      <c r="P268" s="9"/>
      <c r="Q268" s="10" t="e">
        <f t="shared" si="49"/>
        <v>#DIV/0!</v>
      </c>
      <c r="R268" s="5">
        <f t="shared" si="50"/>
        <v>443.49200000000002</v>
      </c>
      <c r="S268" s="5">
        <f t="shared" si="51"/>
        <v>29.79200000000003</v>
      </c>
      <c r="T268" s="5">
        <f t="shared" si="52"/>
        <v>-16.547999999999998</v>
      </c>
      <c r="U268" s="5">
        <f t="shared" si="53"/>
        <v>-430.24799999999999</v>
      </c>
    </row>
    <row r="269" spans="1:21" x14ac:dyDescent="0.25">
      <c r="A269" s="11" t="s">
        <v>33</v>
      </c>
      <c r="B269" s="6" t="s">
        <v>334</v>
      </c>
      <c r="C269" s="9">
        <v>285.64999999999998</v>
      </c>
      <c r="D269" s="6">
        <v>9</v>
      </c>
      <c r="E269" s="8">
        <v>0.04</v>
      </c>
      <c r="F269" s="49">
        <v>0</v>
      </c>
      <c r="G269" s="9">
        <v>2</v>
      </c>
      <c r="H269" s="9">
        <v>385</v>
      </c>
      <c r="I269" s="48">
        <v>0.11</v>
      </c>
      <c r="J269" s="78" cm="1">
        <f t="array" ref="J269">IF(H269&lt;12.5, H269/2,
IF(H269&lt;29, 6.25,
IF(H269&lt;50, 6.5,
IF(H269&lt;79, 6.75,
VALUE(SUBSTITUTE(
INDEX(RESUMO!$J$2:$J$100, MATCH(1,
(D269&gt;=RESUMO!$H$2:$H$100)*(D269&lt;=RESUMO!$I$2:$I$100)*(H269&gt;=RESUMO!$K$2:$K$100)*(H269&lt;=RESUMO!$L$2:$L$100),
0)), "R$ ", ""))
))))</f>
        <v>44.45</v>
      </c>
      <c r="K269" s="9">
        <v>0</v>
      </c>
      <c r="L269" s="10">
        <f t="shared" si="48"/>
        <v>2.9194805194805809E-3</v>
      </c>
      <c r="M269" s="7"/>
      <c r="N269" s="48"/>
      <c r="O269" s="78" cm="1">
        <f t="array" ref="O269">IF(M269&lt;12.5, 0,
IF(M269&lt;29, 6.25,
IF(M269&lt;50, 6.5,
IF(M269&lt;79, 6.75,
VALUE(SUBSTITUTE(
INDEX(RESUMO!$J$2:$J$100, MATCH(1,
(D269&gt;=RESUMO!$H$2:$H$100)*(D269&lt;=RESUMO!$I$2:$I$100)*(M269&gt;=RESUMO!$K$2:$K$100)*(M269&lt;=RESUMO!$L$2:$L$100),
0)), "R$ ", ""))
))))</f>
        <v>0</v>
      </c>
      <c r="P269" s="9"/>
      <c r="Q269" s="10" t="e">
        <f t="shared" si="49"/>
        <v>#DIV/0!</v>
      </c>
      <c r="R269" s="5">
        <f t="shared" si="50"/>
        <v>286.774</v>
      </c>
      <c r="S269" s="5">
        <f t="shared" si="51"/>
        <v>1.1240000000000236</v>
      </c>
      <c r="T269" s="5">
        <f t="shared" si="52"/>
        <v>-11.426</v>
      </c>
      <c r="U269" s="5">
        <f t="shared" si="53"/>
        <v>-297.07599999999996</v>
      </c>
    </row>
    <row r="270" spans="1:21" x14ac:dyDescent="0.25">
      <c r="A270" s="11" t="s">
        <v>33</v>
      </c>
      <c r="B270" s="6" t="s">
        <v>335</v>
      </c>
      <c r="C270" s="9">
        <v>292.02</v>
      </c>
      <c r="D270" s="6">
        <v>13</v>
      </c>
      <c r="E270" s="8">
        <v>0.04</v>
      </c>
      <c r="F270" s="49">
        <v>0</v>
      </c>
      <c r="G270" s="9">
        <v>2</v>
      </c>
      <c r="H270" s="9">
        <v>416</v>
      </c>
      <c r="I270" s="48">
        <v>0.11</v>
      </c>
      <c r="J270" s="78" cm="1">
        <f t="array" ref="J270">IF(H270&lt;12.5, H270/2,
IF(H270&lt;29, 6.25,
IF(H270&lt;50, 6.5,
IF(H270&lt;79, 6.75,
VALUE(SUBSTITUTE(
INDEX(RESUMO!$J$2:$J$100, MATCH(1,
(D270&gt;=RESUMO!$H$2:$H$100)*(D270&lt;=RESUMO!$I$2:$I$100)*(H270&gt;=RESUMO!$K$2:$K$100)*(H270&lt;=RESUMO!$L$2:$L$100),
0)), "R$ ", ""))
))))</f>
        <v>65.95</v>
      </c>
      <c r="K270" s="9">
        <v>0</v>
      </c>
      <c r="L270" s="10">
        <f t="shared" si="48"/>
        <v>1.4163461538463031E-3</v>
      </c>
      <c r="M270" s="7"/>
      <c r="N270" s="48"/>
      <c r="O270" s="78" cm="1">
        <f t="array" ref="O270">IF(M270&lt;12.5, 0,
IF(M270&lt;29, 6.25,
IF(M270&lt;50, 6.5,
IF(M270&lt;79, 6.75,
VALUE(SUBSTITUTE(
INDEX(RESUMO!$J$2:$J$100, MATCH(1,
(D270&gt;=RESUMO!$H$2:$H$100)*(D270&lt;=RESUMO!$I$2:$I$100)*(M270&gt;=RESUMO!$K$2:$K$100)*(M270&lt;=RESUMO!$L$2:$L$100),
0)), "R$ ", ""))
))))</f>
        <v>0</v>
      </c>
      <c r="P270" s="9"/>
      <c r="Q270" s="10" t="e">
        <f t="shared" si="49"/>
        <v>#DIV/0!</v>
      </c>
      <c r="R270" s="5">
        <f t="shared" si="50"/>
        <v>292.60920000000004</v>
      </c>
      <c r="S270" s="5">
        <f t="shared" si="51"/>
        <v>0.58920000000006212</v>
      </c>
      <c r="T270" s="5">
        <f t="shared" si="52"/>
        <v>-11.6808</v>
      </c>
      <c r="U270" s="5">
        <f t="shared" si="53"/>
        <v>-303.70079999999996</v>
      </c>
    </row>
    <row r="271" spans="1:21" x14ac:dyDescent="0.25">
      <c r="A271" s="11" t="s">
        <v>33</v>
      </c>
      <c r="B271" s="6" t="s">
        <v>336</v>
      </c>
      <c r="C271" s="9">
        <v>219.29</v>
      </c>
      <c r="D271" s="6">
        <v>9</v>
      </c>
      <c r="E271" s="8">
        <v>0.04</v>
      </c>
      <c r="F271" s="49">
        <v>0</v>
      </c>
      <c r="G271" s="9">
        <v>2</v>
      </c>
      <c r="H271" s="9">
        <v>309</v>
      </c>
      <c r="I271" s="48">
        <v>0.11</v>
      </c>
      <c r="J271" s="78" cm="1">
        <f t="array" ref="J271">IF(H271&lt;12.5, H271/2,
IF(H271&lt;29, 6.25,
IF(H271&lt;50, 6.5,
IF(H271&lt;79, 6.75,
VALUE(SUBSTITUTE(
INDEX(RESUMO!$J$2:$J$100, MATCH(1,
(D271&gt;=RESUMO!$H$2:$H$100)*(D271&lt;=RESUMO!$I$2:$I$100)*(H271&gt;=RESUMO!$K$2:$K$100)*(H271&lt;=RESUMO!$L$2:$L$100),
0)), "R$ ", ""))
))))</f>
        <v>44.45</v>
      </c>
      <c r="K271" s="9">
        <v>0</v>
      </c>
      <c r="L271" s="10">
        <f t="shared" si="48"/>
        <v>8.0854368932038959E-3</v>
      </c>
      <c r="M271" s="7"/>
      <c r="N271" s="48"/>
      <c r="O271" s="78" cm="1">
        <f t="array" ref="O271">IF(M271&lt;12.5, 0,
IF(M271&lt;29, 6.25,
IF(M271&lt;50, 6.5,
IF(M271&lt;79, 6.75,
VALUE(SUBSTITUTE(
INDEX(RESUMO!$J$2:$J$100, MATCH(1,
(D271&gt;=RESUMO!$H$2:$H$100)*(D271&lt;=RESUMO!$I$2:$I$100)*(M271&gt;=RESUMO!$K$2:$K$100)*(M271&lt;=RESUMO!$L$2:$L$100),
0)), "R$ ", ""))
))))</f>
        <v>0</v>
      </c>
      <c r="P271" s="9"/>
      <c r="Q271" s="10" t="e">
        <f t="shared" si="49"/>
        <v>#DIV/0!</v>
      </c>
      <c r="R271" s="5">
        <f t="shared" si="50"/>
        <v>221.7884</v>
      </c>
      <c r="S271" s="5">
        <f t="shared" si="51"/>
        <v>2.4984000000000037</v>
      </c>
      <c r="T271" s="5">
        <f t="shared" si="52"/>
        <v>-8.7715999999999994</v>
      </c>
      <c r="U271" s="5">
        <f t="shared" si="53"/>
        <v>-228.0616</v>
      </c>
    </row>
    <row r="272" spans="1:21" x14ac:dyDescent="0.25">
      <c r="A272" s="11" t="s">
        <v>25</v>
      </c>
      <c r="B272" s="6" t="s">
        <v>337</v>
      </c>
      <c r="C272" s="9">
        <v>152.66999999999999</v>
      </c>
      <c r="D272" s="6">
        <v>9</v>
      </c>
      <c r="E272" s="8">
        <v>0.04</v>
      </c>
      <c r="F272" s="49">
        <v>0</v>
      </c>
      <c r="G272" s="9">
        <v>2</v>
      </c>
      <c r="H272" s="9">
        <v>229.9</v>
      </c>
      <c r="I272" s="48">
        <v>0.11</v>
      </c>
      <c r="J272" s="78" cm="1">
        <f t="array" ref="J272">IF(H272&lt;12.5, H272/2,
IF(H272&lt;29, 6.25,
IF(H272&lt;50, 6.5,
IF(H272&lt;79, 6.75,
VALUE(SUBSTITUTE(
INDEX(RESUMO!$J$2:$J$100, MATCH(1,
(D272&gt;=RESUMO!$H$2:$H$100)*(D272&lt;=RESUMO!$I$2:$I$100)*(H272&gt;=RESUMO!$K$2:$K$100)*(H272&lt;=RESUMO!$L$2:$L$100),
0)), "R$ ", ""))
))))</f>
        <v>44.45</v>
      </c>
      <c r="K272" s="9">
        <v>0</v>
      </c>
      <c r="L272" s="10">
        <f t="shared" si="48"/>
        <v>6.0208786428883046E-3</v>
      </c>
      <c r="M272" s="7"/>
      <c r="N272" s="48"/>
      <c r="O272" s="78" cm="1">
        <f t="array" ref="O272">IF(M272&lt;12.5, 0,
IF(M272&lt;29, 6.25,
IF(M272&lt;50, 6.5,
IF(M272&lt;79, 6.75,
VALUE(SUBSTITUTE(
INDEX(RESUMO!$J$2:$J$100, MATCH(1,
(D272&gt;=RESUMO!$H$2:$H$100)*(D272&lt;=RESUMO!$I$2:$I$100)*(M272&gt;=RESUMO!$K$2:$K$100)*(M272&lt;=RESUMO!$L$2:$L$100),
0)), "R$ ", ""))
))))</f>
        <v>0</v>
      </c>
      <c r="P272" s="9"/>
      <c r="Q272" s="10" t="e">
        <f t="shared" si="49"/>
        <v>#DIV/0!</v>
      </c>
      <c r="R272" s="5">
        <f t="shared" si="50"/>
        <v>154.05420000000001</v>
      </c>
      <c r="S272" s="5">
        <f t="shared" si="51"/>
        <v>1.3842000000000212</v>
      </c>
      <c r="T272" s="5">
        <f t="shared" si="52"/>
        <v>-6.1067999999999998</v>
      </c>
      <c r="U272" s="5">
        <f t="shared" si="53"/>
        <v>-158.77679999999998</v>
      </c>
    </row>
    <row r="273" spans="1:21" x14ac:dyDescent="0.25">
      <c r="A273" s="11" t="s">
        <v>25</v>
      </c>
      <c r="B273" s="6" t="s">
        <v>338</v>
      </c>
      <c r="C273" s="9">
        <v>275.8</v>
      </c>
      <c r="D273" s="6">
        <v>9</v>
      </c>
      <c r="E273" s="8">
        <v>0.04</v>
      </c>
      <c r="F273" s="49">
        <v>0</v>
      </c>
      <c r="G273" s="9">
        <v>2</v>
      </c>
      <c r="H273" s="9">
        <v>419.9</v>
      </c>
      <c r="I273" s="48">
        <v>0.11</v>
      </c>
      <c r="J273" s="78" cm="1">
        <f t="array" ref="J273">IF(H273&lt;12.5, H273/2,
IF(H273&lt;29, 6.25,
IF(H273&lt;50, 6.5,
IF(H273&lt;79, 6.75,
VALUE(SUBSTITUTE(
INDEX(RESUMO!$J$2:$J$100, MATCH(1,
(D273&gt;=RESUMO!$H$2:$H$100)*(D273&lt;=RESUMO!$I$2:$I$100)*(H273&gt;=RESUMO!$K$2:$K$100)*(H273&lt;=RESUMO!$L$2:$L$100),
0)), "R$ ", ""))
))))</f>
        <v>44.45</v>
      </c>
      <c r="K273" s="9">
        <v>0</v>
      </c>
      <c r="L273" s="10">
        <f t="shared" si="48"/>
        <v>0.10104548702071917</v>
      </c>
      <c r="M273" s="7"/>
      <c r="N273" s="48"/>
      <c r="O273" s="78" cm="1">
        <f t="array" ref="O273">IF(M273&lt;12.5, 0,
IF(M273&lt;29, 6.25,
IF(M273&lt;50, 6.5,
IF(M273&lt;79, 6.75,
VALUE(SUBSTITUTE(
INDEX(RESUMO!$J$2:$J$100, MATCH(1,
(D273&gt;=RESUMO!$H$2:$H$100)*(D273&lt;=RESUMO!$I$2:$I$100)*(M273&gt;=RESUMO!$K$2:$K$100)*(M273&lt;=RESUMO!$L$2:$L$100),
0)), "R$ ", ""))
))))</f>
        <v>0</v>
      </c>
      <c r="P273" s="9"/>
      <c r="Q273" s="10" t="e">
        <f t="shared" si="49"/>
        <v>#DIV/0!</v>
      </c>
      <c r="R273" s="5">
        <f t="shared" si="50"/>
        <v>318.22899999999998</v>
      </c>
      <c r="S273" s="5">
        <f t="shared" si="51"/>
        <v>42.428999999999974</v>
      </c>
      <c r="T273" s="5">
        <f t="shared" si="52"/>
        <v>-11.032</v>
      </c>
      <c r="U273" s="5">
        <f t="shared" si="53"/>
        <v>-286.83199999999999</v>
      </c>
    </row>
    <row r="274" spans="1:21" x14ac:dyDescent="0.25">
      <c r="A274" s="11" t="s">
        <v>25</v>
      </c>
      <c r="B274" s="6" t="s">
        <v>339</v>
      </c>
      <c r="C274" s="9">
        <v>275.8</v>
      </c>
      <c r="D274" s="6">
        <v>9</v>
      </c>
      <c r="E274" s="8">
        <v>0.04</v>
      </c>
      <c r="F274" s="49">
        <v>0</v>
      </c>
      <c r="G274" s="9">
        <v>2</v>
      </c>
      <c r="H274" s="9">
        <v>419.9</v>
      </c>
      <c r="I274" s="48">
        <v>0.11</v>
      </c>
      <c r="J274" s="78" cm="1">
        <f t="array" ref="J274">IF(H274&lt;12.5, H274/2,
IF(H274&lt;29, 6.25,
IF(H274&lt;50, 6.5,
IF(H274&lt;79, 6.75,
VALUE(SUBSTITUTE(
INDEX(RESUMO!$J$2:$J$100, MATCH(1,
(D274&gt;=RESUMO!$H$2:$H$100)*(D274&lt;=RESUMO!$I$2:$I$100)*(H274&gt;=RESUMO!$K$2:$K$100)*(H274&lt;=RESUMO!$L$2:$L$100),
0)), "R$ ", ""))
))))</f>
        <v>44.45</v>
      </c>
      <c r="K274" s="9">
        <v>0</v>
      </c>
      <c r="L274" s="10">
        <f t="shared" si="48"/>
        <v>0.10104548702071917</v>
      </c>
      <c r="M274" s="7"/>
      <c r="N274" s="48"/>
      <c r="O274" s="78" cm="1">
        <f t="array" ref="O274">IF(M274&lt;12.5, 0,
IF(M274&lt;29, 6.25,
IF(M274&lt;50, 6.5,
IF(M274&lt;79, 6.75,
VALUE(SUBSTITUTE(
INDEX(RESUMO!$J$2:$J$100, MATCH(1,
(D274&gt;=RESUMO!$H$2:$H$100)*(D274&lt;=RESUMO!$I$2:$I$100)*(M274&gt;=RESUMO!$K$2:$K$100)*(M274&lt;=RESUMO!$L$2:$L$100),
0)), "R$ ", ""))
))))</f>
        <v>0</v>
      </c>
      <c r="P274" s="9"/>
      <c r="Q274" s="10" t="e">
        <f t="shared" si="49"/>
        <v>#DIV/0!</v>
      </c>
      <c r="R274" s="5">
        <f t="shared" si="50"/>
        <v>318.22899999999998</v>
      </c>
      <c r="S274" s="5">
        <f t="shared" si="51"/>
        <v>42.428999999999974</v>
      </c>
      <c r="T274" s="5">
        <f t="shared" si="52"/>
        <v>-11.032</v>
      </c>
      <c r="U274" s="5">
        <f t="shared" si="53"/>
        <v>-286.83199999999999</v>
      </c>
    </row>
    <row r="275" spans="1:21" x14ac:dyDescent="0.25">
      <c r="A275" s="11" t="s">
        <v>25</v>
      </c>
      <c r="B275" s="6" t="s">
        <v>340</v>
      </c>
      <c r="C275" s="9">
        <v>180.55</v>
      </c>
      <c r="D275" s="6">
        <v>4</v>
      </c>
      <c r="E275" s="8">
        <v>0.04</v>
      </c>
      <c r="F275" s="49">
        <v>0</v>
      </c>
      <c r="G275" s="9">
        <v>1</v>
      </c>
      <c r="H275" s="9">
        <v>275</v>
      </c>
      <c r="I275" s="48">
        <v>0.11</v>
      </c>
      <c r="J275" s="78" cm="1">
        <f t="array" ref="J275">IF(H275&lt;12.5, H275/2,
IF(H275&lt;29, 6.25,
IF(H275&lt;50, 6.5,
IF(H275&lt;79, 6.75,
VALUE(SUBSTITUTE(
INDEX(RESUMO!$J$2:$J$100, MATCH(1,
(D275&gt;=RESUMO!$H$2:$H$100)*(D275&lt;=RESUMO!$I$2:$I$100)*(H275&gt;=RESUMO!$K$2:$K$100)*(H275&lt;=RESUMO!$L$2:$L$100),
0)), "R$ ", ""))
))))</f>
        <v>26.95</v>
      </c>
      <c r="K275" s="9">
        <v>0</v>
      </c>
      <c r="L275" s="10">
        <f t="shared" si="48"/>
        <v>0.10919272727272725</v>
      </c>
      <c r="M275" s="7"/>
      <c r="N275" s="48"/>
      <c r="O275" s="78" cm="1">
        <f t="array" ref="O275">IF(M275&lt;12.5, 0,
IF(M275&lt;29, 6.25,
IF(M275&lt;50, 6.5,
IF(M275&lt;79, 6.75,
VALUE(SUBSTITUTE(
INDEX(RESUMO!$J$2:$J$100, MATCH(1,
(D275&gt;=RESUMO!$H$2:$H$100)*(D275&lt;=RESUMO!$I$2:$I$100)*(M275&gt;=RESUMO!$K$2:$K$100)*(M275&lt;=RESUMO!$L$2:$L$100),
0)), "R$ ", ""))
))))</f>
        <v>0</v>
      </c>
      <c r="P275" s="9"/>
      <c r="Q275" s="10" t="e">
        <f t="shared" si="49"/>
        <v>#DIV/0!</v>
      </c>
      <c r="R275" s="5">
        <f t="shared" si="50"/>
        <v>210.578</v>
      </c>
      <c r="S275" s="5">
        <f t="shared" si="51"/>
        <v>30.027999999999992</v>
      </c>
      <c r="T275" s="5">
        <f t="shared" si="52"/>
        <v>-7.2220000000000004</v>
      </c>
      <c r="U275" s="5">
        <f t="shared" si="53"/>
        <v>-187.77200000000002</v>
      </c>
    </row>
    <row r="276" spans="1:21" x14ac:dyDescent="0.25">
      <c r="A276" s="11" t="s">
        <v>25</v>
      </c>
      <c r="B276" s="6" t="s">
        <v>341</v>
      </c>
      <c r="C276" s="9">
        <v>191.88</v>
      </c>
      <c r="D276" s="6">
        <v>4</v>
      </c>
      <c r="E276" s="8">
        <v>0.04</v>
      </c>
      <c r="F276" s="49">
        <v>0</v>
      </c>
      <c r="G276" s="9">
        <v>2</v>
      </c>
      <c r="H276" s="9">
        <v>299</v>
      </c>
      <c r="I276" s="48">
        <v>0.11</v>
      </c>
      <c r="J276" s="78" cm="1">
        <f t="array" ref="J276">IF(H276&lt;12.5, H276/2,
IF(H276&lt;29, 6.25,
IF(H276&lt;50, 6.5,
IF(H276&lt;79, 6.75,
VALUE(SUBSTITUTE(
INDEX(RESUMO!$J$2:$J$100, MATCH(1,
(D276&gt;=RESUMO!$H$2:$H$100)*(D276&lt;=RESUMO!$I$2:$I$100)*(H276&gt;=RESUMO!$K$2:$K$100)*(H276&lt;=RESUMO!$L$2:$L$100),
0)), "R$ ", ""))
))))</f>
        <v>26.95</v>
      </c>
      <c r="K276" s="9">
        <v>0</v>
      </c>
      <c r="L276" s="10">
        <f t="shared" si="48"/>
        <v>0.13245752508361217</v>
      </c>
      <c r="M276" s="7"/>
      <c r="N276" s="48"/>
      <c r="O276" s="78" cm="1">
        <f t="array" ref="O276">IF(M276&lt;12.5, 0,
IF(M276&lt;29, 6.25,
IF(M276&lt;50, 6.5,
IF(M276&lt;79, 6.75,
VALUE(SUBSTITUTE(
INDEX(RESUMO!$J$2:$J$100, MATCH(1,
(D276&gt;=RESUMO!$H$2:$H$100)*(D276&lt;=RESUMO!$I$2:$I$100)*(M276&gt;=RESUMO!$K$2:$K$100)*(M276&lt;=RESUMO!$L$2:$L$100),
0)), "R$ ", ""))
))))</f>
        <v>0</v>
      </c>
      <c r="P276" s="9"/>
      <c r="Q276" s="10" t="e">
        <f t="shared" si="49"/>
        <v>#DIV/0!</v>
      </c>
      <c r="R276" s="5">
        <f t="shared" si="50"/>
        <v>231.48480000000004</v>
      </c>
      <c r="S276" s="5">
        <f t="shared" si="51"/>
        <v>39.60480000000004</v>
      </c>
      <c r="T276" s="5">
        <f t="shared" si="52"/>
        <v>-7.6752000000000002</v>
      </c>
      <c r="U276" s="5">
        <f t="shared" si="53"/>
        <v>-199.55519999999999</v>
      </c>
    </row>
    <row r="277" spans="1:21" x14ac:dyDescent="0.25">
      <c r="A277" s="11" t="s">
        <v>25</v>
      </c>
      <c r="B277" s="6" t="s">
        <v>342</v>
      </c>
      <c r="C277" s="9">
        <v>236.4</v>
      </c>
      <c r="D277" s="6">
        <v>4</v>
      </c>
      <c r="E277" s="8">
        <v>0.04</v>
      </c>
      <c r="F277" s="49">
        <v>0</v>
      </c>
      <c r="G277" s="9">
        <v>2</v>
      </c>
      <c r="H277" s="9">
        <v>325</v>
      </c>
      <c r="I277" s="48">
        <v>0.11</v>
      </c>
      <c r="J277" s="78" cm="1">
        <f t="array" ref="J277">IF(H277&lt;12.5, H277/2,
IF(H277&lt;29, 6.25,
IF(H277&lt;50, 6.5,
IF(H277&lt;79, 6.75,
VALUE(SUBSTITUTE(
INDEX(RESUMO!$J$2:$J$100, MATCH(1,
(D277&gt;=RESUMO!$H$2:$H$100)*(D277&lt;=RESUMO!$I$2:$I$100)*(H277&gt;=RESUMO!$K$2:$K$100)*(H277&lt;=RESUMO!$L$2:$L$100),
0)), "R$ ", ""))
))))</f>
        <v>26.95</v>
      </c>
      <c r="K277" s="9">
        <v>0</v>
      </c>
      <c r="L277" s="10">
        <f t="shared" si="48"/>
        <v>5.059692307692313E-2</v>
      </c>
      <c r="M277" s="7"/>
      <c r="N277" s="48"/>
      <c r="O277" s="78" cm="1">
        <f t="array" ref="O277">IF(M277&lt;12.5, 0,
IF(M277&lt;29, 6.25,
IF(M277&lt;50, 6.5,
IF(M277&lt;79, 6.75,
VALUE(SUBSTITUTE(
INDEX(RESUMO!$J$2:$J$100, MATCH(1,
(D277&gt;=RESUMO!$H$2:$H$100)*(D277&lt;=RESUMO!$I$2:$I$100)*(M277&gt;=RESUMO!$K$2:$K$100)*(M277&lt;=RESUMO!$L$2:$L$100),
0)), "R$ ", ""))
))))</f>
        <v>0</v>
      </c>
      <c r="P277" s="9"/>
      <c r="Q277" s="10" t="e">
        <f t="shared" si="49"/>
        <v>#DIV/0!</v>
      </c>
      <c r="R277" s="5">
        <f t="shared" si="50"/>
        <v>252.84400000000002</v>
      </c>
      <c r="S277" s="5">
        <f t="shared" si="51"/>
        <v>16.444000000000017</v>
      </c>
      <c r="T277" s="5">
        <f t="shared" si="52"/>
        <v>-9.4560000000000013</v>
      </c>
      <c r="U277" s="5">
        <f t="shared" si="53"/>
        <v>-245.85599999999999</v>
      </c>
    </row>
    <row r="278" spans="1:21" x14ac:dyDescent="0.25">
      <c r="A278" s="11" t="s">
        <v>25</v>
      </c>
      <c r="B278" s="6" t="s">
        <v>343</v>
      </c>
      <c r="C278" s="9">
        <v>246.25</v>
      </c>
      <c r="D278" s="6">
        <v>9</v>
      </c>
      <c r="E278" s="8">
        <v>0.04</v>
      </c>
      <c r="F278" s="49">
        <v>0</v>
      </c>
      <c r="G278" s="9">
        <v>2</v>
      </c>
      <c r="H278" s="9">
        <v>359</v>
      </c>
      <c r="I278" s="48">
        <v>0.11</v>
      </c>
      <c r="J278" s="78" cm="1">
        <f t="array" ref="J278">IF(H278&lt;12.5, H278/2,
IF(H278&lt;29, 6.25,
IF(H278&lt;50, 6.5,
IF(H278&lt;79, 6.75,
VALUE(SUBSTITUTE(
INDEX(RESUMO!$J$2:$J$100, MATCH(1,
(D278&gt;=RESUMO!$H$2:$H$100)*(D278&lt;=RESUMO!$I$2:$I$100)*(H278&gt;=RESUMO!$K$2:$K$100)*(H278&lt;=RESUMO!$L$2:$L$100),
0)), "R$ ", ""))
))))</f>
        <v>44.45</v>
      </c>
      <c r="K278" s="9">
        <v>0</v>
      </c>
      <c r="L278" s="10">
        <f t="shared" si="48"/>
        <v>5.2813370473537548E-2</v>
      </c>
      <c r="M278" s="7"/>
      <c r="N278" s="48"/>
      <c r="O278" s="78" cm="1">
        <f t="array" ref="O278">IF(M278&lt;12.5, 0,
IF(M278&lt;29, 6.25,
IF(M278&lt;50, 6.5,
IF(M278&lt;79, 6.75,
VALUE(SUBSTITUTE(
INDEX(RESUMO!$J$2:$J$100, MATCH(1,
(D278&gt;=RESUMO!$H$2:$H$100)*(D278&lt;=RESUMO!$I$2:$I$100)*(M278&gt;=RESUMO!$K$2:$K$100)*(M278&lt;=RESUMO!$L$2:$L$100),
0)), "R$ ", ""))
))))</f>
        <v>0</v>
      </c>
      <c r="P278" s="9"/>
      <c r="Q278" s="10" t="e">
        <f t="shared" si="49"/>
        <v>#DIV/0!</v>
      </c>
      <c r="R278" s="5">
        <f t="shared" si="50"/>
        <v>265.20999999999998</v>
      </c>
      <c r="S278" s="5">
        <f t="shared" si="51"/>
        <v>18.95999999999998</v>
      </c>
      <c r="T278" s="5">
        <f t="shared" si="52"/>
        <v>-9.85</v>
      </c>
      <c r="U278" s="5">
        <f t="shared" si="53"/>
        <v>-256.10000000000002</v>
      </c>
    </row>
    <row r="279" spans="1:21" x14ac:dyDescent="0.25">
      <c r="A279" s="11" t="s">
        <v>25</v>
      </c>
      <c r="B279" s="6" t="s">
        <v>344</v>
      </c>
      <c r="C279" s="9">
        <v>180.55</v>
      </c>
      <c r="D279" s="6">
        <v>9</v>
      </c>
      <c r="E279" s="8">
        <v>0.04</v>
      </c>
      <c r="F279" s="49">
        <v>0</v>
      </c>
      <c r="G279" s="9">
        <v>2</v>
      </c>
      <c r="H279" s="9">
        <v>277</v>
      </c>
      <c r="I279" s="48">
        <v>0.11</v>
      </c>
      <c r="J279" s="78" cm="1">
        <f t="array" ref="J279">IF(H279&lt;12.5, H279/2,
IF(H279&lt;29, 6.25,
IF(H279&lt;50, 6.5,
IF(H279&lt;79, 6.75,
VALUE(SUBSTITUTE(
INDEX(RESUMO!$J$2:$J$100, MATCH(1,
(D279&gt;=RESUMO!$H$2:$H$100)*(D279&lt;=RESUMO!$I$2:$I$100)*(H279&gt;=RESUMO!$K$2:$K$100)*(H279&lt;=RESUMO!$L$2:$L$100),
0)), "R$ ", ""))
))))</f>
        <v>44.45</v>
      </c>
      <c r="K279" s="9">
        <v>0</v>
      </c>
      <c r="L279" s="10">
        <f t="shared" si="48"/>
        <v>5.1653429602887956E-2</v>
      </c>
      <c r="M279" s="7"/>
      <c r="N279" s="48"/>
      <c r="O279" s="78" cm="1">
        <f t="array" ref="O279">IF(M279&lt;12.5, 0,
IF(M279&lt;29, 6.25,
IF(M279&lt;50, 6.5,
IF(M279&lt;79, 6.75,
VALUE(SUBSTITUTE(
INDEX(RESUMO!$J$2:$J$100, MATCH(1,
(D279&gt;=RESUMO!$H$2:$H$100)*(D279&lt;=RESUMO!$I$2:$I$100)*(M279&gt;=RESUMO!$K$2:$K$100)*(M279&lt;=RESUMO!$L$2:$L$100),
0)), "R$ ", ""))
))))</f>
        <v>0</v>
      </c>
      <c r="P279" s="9"/>
      <c r="Q279" s="10" t="e">
        <f t="shared" si="49"/>
        <v>#DIV/0!</v>
      </c>
      <c r="R279" s="5">
        <f t="shared" si="50"/>
        <v>194.85799999999998</v>
      </c>
      <c r="S279" s="5">
        <f t="shared" si="51"/>
        <v>14.307999999999964</v>
      </c>
      <c r="T279" s="5">
        <f t="shared" si="52"/>
        <v>-7.2220000000000004</v>
      </c>
      <c r="U279" s="5">
        <f t="shared" si="53"/>
        <v>-187.77200000000002</v>
      </c>
    </row>
    <row r="280" spans="1:21" x14ac:dyDescent="0.25">
      <c r="A280" s="11" t="s">
        <v>44</v>
      </c>
      <c r="B280" s="61" t="s">
        <v>345</v>
      </c>
      <c r="C280" s="9">
        <v>92.9</v>
      </c>
      <c r="D280" s="6">
        <v>2</v>
      </c>
      <c r="E280" s="8">
        <v>0.04</v>
      </c>
      <c r="F280" s="49">
        <v>0</v>
      </c>
      <c r="G280" s="9">
        <v>2</v>
      </c>
      <c r="H280" s="9">
        <v>166</v>
      </c>
      <c r="I280" s="48">
        <v>0.11</v>
      </c>
      <c r="J280" s="78" cm="1">
        <f t="array" ref="J280">IF(H280&lt;12.5, H280/2,
IF(H280&lt;29, 6.25,
IF(H280&lt;50, 6.5,
IF(H280&lt;79, 6.75,
VALUE(SUBSTITUTE(
INDEX(RESUMO!$J$2:$J$100, MATCH(1,
(D280&gt;=RESUMO!$H$2:$H$100)*(D280&lt;=RESUMO!$I$2:$I$100)*(H280&gt;=RESUMO!$K$2:$K$100)*(H280&lt;=RESUMO!$L$2:$L$100),
0)), "R$ ", ""))
))))</f>
        <v>21.1</v>
      </c>
      <c r="K280" s="9">
        <v>0</v>
      </c>
      <c r="L280" s="10">
        <f t="shared" si="48"/>
        <v>0.18086746987951816</v>
      </c>
      <c r="M280" s="7"/>
      <c r="N280" s="48"/>
      <c r="O280" s="78" cm="1">
        <f t="array" ref="O280">IF(M280&lt;12.5, 0,
IF(M280&lt;29, 6.25,
IF(M280&lt;50, 6.5,
IF(M280&lt;79, 6.75,
VALUE(SUBSTITUTE(
INDEX(RESUMO!$J$2:$J$100, MATCH(1,
(D280&gt;=RESUMO!$H$2:$H$100)*(D280&lt;=RESUMO!$I$2:$I$100)*(M280&gt;=RESUMO!$K$2:$K$100)*(M280&lt;=RESUMO!$L$2:$L$100),
0)), "R$ ", ""))
))))</f>
        <v>0</v>
      </c>
      <c r="P280" s="9"/>
      <c r="Q280" s="10" t="e">
        <f t="shared" si="49"/>
        <v>#DIV/0!</v>
      </c>
      <c r="R280" s="5">
        <f t="shared" si="50"/>
        <v>122.92400000000002</v>
      </c>
      <c r="S280" s="5">
        <f t="shared" si="51"/>
        <v>30.024000000000015</v>
      </c>
      <c r="T280" s="5">
        <f t="shared" si="52"/>
        <v>-3.7160000000000002</v>
      </c>
      <c r="U280" s="5">
        <f t="shared" si="53"/>
        <v>-96.616</v>
      </c>
    </row>
    <row r="281" spans="1:21" x14ac:dyDescent="0.25">
      <c r="A281" s="11" t="s">
        <v>44</v>
      </c>
      <c r="B281" s="61" t="s">
        <v>346</v>
      </c>
      <c r="C281" s="9">
        <v>92.9</v>
      </c>
      <c r="D281" s="6">
        <v>1</v>
      </c>
      <c r="E281" s="8">
        <v>0.04</v>
      </c>
      <c r="F281" s="49">
        <v>0</v>
      </c>
      <c r="G281" s="9">
        <v>2</v>
      </c>
      <c r="H281" s="9">
        <v>166</v>
      </c>
      <c r="I281" s="48">
        <v>0.11</v>
      </c>
      <c r="J281" s="78" cm="1">
        <f t="array" ref="J281">IF(H281&lt;12.5, H281/2,
IF(H281&lt;29, 6.25,
IF(H281&lt;50, 6.5,
IF(H281&lt;79, 6.75,
VALUE(SUBSTITUTE(
INDEX(RESUMO!$J$2:$J$100, MATCH(1,
(D281&gt;=RESUMO!$H$2:$H$100)*(D281&lt;=RESUMO!$I$2:$I$100)*(H281&gt;=RESUMO!$K$2:$K$100)*(H281&lt;=RESUMO!$L$2:$L$100),
0)), "R$ ", ""))
))))</f>
        <v>20.2</v>
      </c>
      <c r="K281" s="9">
        <v>0</v>
      </c>
      <c r="L281" s="10">
        <f t="shared" si="48"/>
        <v>0.18628915662650605</v>
      </c>
      <c r="M281" s="7"/>
      <c r="N281" s="48"/>
      <c r="O281" s="78" cm="1">
        <f t="array" ref="O281">IF(M281&lt;12.5, 0,
IF(M281&lt;29, 6.25,
IF(M281&lt;50, 6.5,
IF(M281&lt;79, 6.75,
VALUE(SUBSTITUTE(
INDEX(RESUMO!$J$2:$J$100, MATCH(1,
(D281&gt;=RESUMO!$H$2:$H$100)*(D281&lt;=RESUMO!$I$2:$I$100)*(M281&gt;=RESUMO!$K$2:$K$100)*(M281&lt;=RESUMO!$L$2:$L$100),
0)), "R$ ", ""))
))))</f>
        <v>0</v>
      </c>
      <c r="P281" s="9"/>
      <c r="Q281" s="10" t="e">
        <f t="shared" si="49"/>
        <v>#DIV/0!</v>
      </c>
      <c r="R281" s="5">
        <f t="shared" si="50"/>
        <v>123.82400000000001</v>
      </c>
      <c r="S281" s="5">
        <f t="shared" si="51"/>
        <v>30.924000000000007</v>
      </c>
      <c r="T281" s="5">
        <f t="shared" si="52"/>
        <v>-3.7160000000000002</v>
      </c>
      <c r="U281" s="5">
        <f t="shared" si="53"/>
        <v>-96.616</v>
      </c>
    </row>
    <row r="282" spans="1:21" x14ac:dyDescent="0.25">
      <c r="A282" s="11" t="s">
        <v>44</v>
      </c>
      <c r="B282" s="61" t="s">
        <v>347</v>
      </c>
      <c r="C282" s="9">
        <v>56.09</v>
      </c>
      <c r="D282" s="6">
        <v>1</v>
      </c>
      <c r="E282" s="8">
        <v>0.04</v>
      </c>
      <c r="F282" s="49">
        <v>0</v>
      </c>
      <c r="G282" s="9">
        <v>2</v>
      </c>
      <c r="H282" s="9">
        <v>99.9</v>
      </c>
      <c r="I282" s="48">
        <v>0.11</v>
      </c>
      <c r="J282" s="78" cm="1">
        <f t="array" ref="J282">IF(H282&lt;12.5, H282/2,
IF(H282&lt;29, 6.25,
IF(H282&lt;50, 6.5,
IF(H282&lt;79, 6.75,
VALUE(SUBSTITUTE(
INDEX(RESUMO!$J$2:$J$100, MATCH(1,
(D282&gt;=RESUMO!$H$2:$H$100)*(D282&lt;=RESUMO!$I$2:$I$100)*(H282&gt;=RESUMO!$K$2:$K$100)*(H282&lt;=RESUMO!$L$2:$L$100),
0)), "R$ ", ""))
))))</f>
        <v>13.47</v>
      </c>
      <c r="K282" s="9">
        <v>0</v>
      </c>
      <c r="L282" s="10">
        <f t="shared" si="48"/>
        <v>0.17124524524524523</v>
      </c>
      <c r="M282" s="7"/>
      <c r="N282" s="48"/>
      <c r="O282" s="78" cm="1">
        <f t="array" ref="O282">IF(M282&lt;12.5, 0,
IF(M282&lt;29, 6.25,
IF(M282&lt;50, 6.5,
IF(M282&lt;79, 6.75,
VALUE(SUBSTITUTE(
INDEX(RESUMO!$J$2:$J$100, MATCH(1,
(D282&gt;=RESUMO!$H$2:$H$100)*(D282&lt;=RESUMO!$I$2:$I$100)*(M282&gt;=RESUMO!$K$2:$K$100)*(M282&lt;=RESUMO!$L$2:$L$100),
0)), "R$ ", ""))
))))</f>
        <v>0</v>
      </c>
      <c r="P282" s="9"/>
      <c r="Q282" s="10" t="e">
        <f t="shared" si="49"/>
        <v>#DIV/0!</v>
      </c>
      <c r="R282" s="5">
        <f t="shared" si="50"/>
        <v>73.197400000000002</v>
      </c>
      <c r="S282" s="5">
        <f t="shared" si="51"/>
        <v>17.107399999999998</v>
      </c>
      <c r="T282" s="5">
        <f t="shared" si="52"/>
        <v>-2.2436000000000003</v>
      </c>
      <c r="U282" s="5">
        <f t="shared" si="53"/>
        <v>-58.333600000000004</v>
      </c>
    </row>
    <row r="283" spans="1:21" x14ac:dyDescent="0.25">
      <c r="A283" s="11" t="s">
        <v>44</v>
      </c>
      <c r="B283" s="61" t="s">
        <v>348</v>
      </c>
      <c r="C283" s="9">
        <v>92.12</v>
      </c>
      <c r="D283" s="6">
        <v>1</v>
      </c>
      <c r="E283" s="8">
        <v>0.04</v>
      </c>
      <c r="F283" s="49">
        <v>0</v>
      </c>
      <c r="G283" s="9">
        <v>2</v>
      </c>
      <c r="H283" s="9">
        <v>164</v>
      </c>
      <c r="I283" s="48">
        <v>0.11</v>
      </c>
      <c r="J283" s="78" cm="1">
        <f t="array" ref="J283">IF(H283&lt;12.5, H283/2,
IF(H283&lt;29, 6.25,
IF(H283&lt;50, 6.5,
IF(H283&lt;79, 6.75,
VALUE(SUBSTITUTE(
INDEX(RESUMO!$J$2:$J$100, MATCH(1,
(D283&gt;=RESUMO!$H$2:$H$100)*(D283&lt;=RESUMO!$I$2:$I$100)*(H283&gt;=RESUMO!$K$2:$K$100)*(H283&lt;=RESUMO!$L$2:$L$100),
0)), "R$ ", ""))
))))</f>
        <v>20.2</v>
      </c>
      <c r="K283" s="9">
        <v>0</v>
      </c>
      <c r="L283" s="10">
        <f t="shared" ref="L283:L345" si="54">S283/H283</f>
        <v>0.18265365853658538</v>
      </c>
      <c r="M283" s="7"/>
      <c r="N283" s="48"/>
      <c r="O283" s="78" cm="1">
        <f t="array" ref="O283">IF(M283&lt;12.5, 0,
IF(M283&lt;29, 6.25,
IF(M283&lt;50, 6.5,
IF(M283&lt;79, 6.75,
VALUE(SUBSTITUTE(
INDEX(RESUMO!$J$2:$J$100, MATCH(1,
(D283&gt;=RESUMO!$H$2:$H$100)*(D283&lt;=RESUMO!$I$2:$I$100)*(M283&gt;=RESUMO!$K$2:$K$100)*(M283&lt;=RESUMO!$L$2:$L$100),
0)), "R$ ", ""))
))))</f>
        <v>0</v>
      </c>
      <c r="P283" s="9"/>
      <c r="Q283" s="10" t="e">
        <f t="shared" si="49"/>
        <v>#DIV/0!</v>
      </c>
      <c r="R283" s="5">
        <f t="shared" si="50"/>
        <v>122.07520000000001</v>
      </c>
      <c r="S283" s="5">
        <f t="shared" si="51"/>
        <v>29.955200000000005</v>
      </c>
      <c r="T283" s="5">
        <f t="shared" si="52"/>
        <v>-3.6848000000000001</v>
      </c>
      <c r="U283" s="5">
        <f t="shared" si="53"/>
        <v>-95.8048</v>
      </c>
    </row>
    <row r="284" spans="1:21" x14ac:dyDescent="0.25">
      <c r="A284" s="11" t="s">
        <v>44</v>
      </c>
      <c r="B284" s="61" t="s">
        <v>349</v>
      </c>
      <c r="C284" s="9">
        <v>59.76</v>
      </c>
      <c r="D284" s="6">
        <v>1</v>
      </c>
      <c r="E284" s="8">
        <v>0.04</v>
      </c>
      <c r="F284" s="49">
        <v>0</v>
      </c>
      <c r="G284" s="9">
        <v>2</v>
      </c>
      <c r="H284" s="9">
        <v>109.9</v>
      </c>
      <c r="I284" s="48">
        <v>0.11</v>
      </c>
      <c r="J284" s="78" cm="1">
        <f t="array" ref="J284">IF(H284&lt;12.5, H284/2,
IF(H284&lt;29, 6.25,
IF(H284&lt;50, 6.5,
IF(H284&lt;79, 6.75,
VALUE(SUBSTITUTE(
INDEX(RESUMO!$J$2:$J$100, MATCH(1,
(D284&gt;=RESUMO!$H$2:$H$100)*(D284&lt;=RESUMO!$I$2:$I$100)*(H284&gt;=RESUMO!$K$2:$K$100)*(H284&lt;=RESUMO!$L$2:$L$100),
0)), "R$ ", ""))
))))</f>
        <v>15.71</v>
      </c>
      <c r="K284" s="9">
        <v>0</v>
      </c>
      <c r="L284" s="10">
        <f t="shared" si="54"/>
        <v>0.1815341219290264</v>
      </c>
      <c r="M284" s="7"/>
      <c r="N284" s="48"/>
      <c r="O284" s="78" cm="1">
        <f t="array" ref="O284">IF(M284&lt;12.5, 0,
IF(M284&lt;29, 6.25,
IF(M284&lt;50, 6.5,
IF(M284&lt;79, 6.75,
VALUE(SUBSTITUTE(
INDEX(RESUMO!$J$2:$J$100, MATCH(1,
(D284&gt;=RESUMO!$H$2:$H$100)*(D284&lt;=RESUMO!$I$2:$I$100)*(M284&gt;=RESUMO!$K$2:$K$100)*(M284&lt;=RESUMO!$L$2:$L$100),
0)), "R$ ", ""))
))))</f>
        <v>0</v>
      </c>
      <c r="P284" s="9"/>
      <c r="Q284" s="10" t="e">
        <f t="shared" si="49"/>
        <v>#DIV/0!</v>
      </c>
      <c r="R284" s="5">
        <f t="shared" si="50"/>
        <v>79.710599999999999</v>
      </c>
      <c r="S284" s="5">
        <f t="shared" si="51"/>
        <v>19.950600000000001</v>
      </c>
      <c r="T284" s="5">
        <f t="shared" si="52"/>
        <v>-2.3904000000000001</v>
      </c>
      <c r="U284" s="5">
        <f t="shared" si="53"/>
        <v>-62.150399999999998</v>
      </c>
    </row>
    <row r="285" spans="1:21" x14ac:dyDescent="0.25">
      <c r="A285" s="11" t="s">
        <v>44</v>
      </c>
      <c r="B285" s="61" t="s">
        <v>350</v>
      </c>
      <c r="C285" s="9">
        <v>59.76</v>
      </c>
      <c r="D285" s="6">
        <v>1</v>
      </c>
      <c r="E285" s="8">
        <v>0.04</v>
      </c>
      <c r="F285" s="49">
        <v>0</v>
      </c>
      <c r="G285" s="9">
        <v>2</v>
      </c>
      <c r="H285" s="9">
        <v>109.9</v>
      </c>
      <c r="I285" s="48">
        <v>0.11</v>
      </c>
      <c r="J285" s="78" cm="1">
        <f t="array" ref="J285">IF(H285&lt;12.5, H285/2,
IF(H285&lt;29, 6.25,
IF(H285&lt;50, 6.5,
IF(H285&lt;79, 6.75,
VALUE(SUBSTITUTE(
INDEX(RESUMO!$J$2:$J$100, MATCH(1,
(D285&gt;=RESUMO!$H$2:$H$100)*(D285&lt;=RESUMO!$I$2:$I$100)*(H285&gt;=RESUMO!$K$2:$K$100)*(H285&lt;=RESUMO!$L$2:$L$100),
0)), "R$ ", ""))
))))</f>
        <v>15.71</v>
      </c>
      <c r="K285" s="9">
        <v>0</v>
      </c>
      <c r="L285" s="10">
        <f t="shared" si="54"/>
        <v>0.1815341219290264</v>
      </c>
      <c r="M285" s="7"/>
      <c r="N285" s="48"/>
      <c r="O285" s="78" cm="1">
        <f t="array" ref="O285">IF(M285&lt;12.5, 0,
IF(M285&lt;29, 6.25,
IF(M285&lt;50, 6.5,
IF(M285&lt;79, 6.75,
VALUE(SUBSTITUTE(
INDEX(RESUMO!$J$2:$J$100, MATCH(1,
(D285&gt;=RESUMO!$H$2:$H$100)*(D285&lt;=RESUMO!$I$2:$I$100)*(M285&gt;=RESUMO!$K$2:$K$100)*(M285&lt;=RESUMO!$L$2:$L$100),
0)), "R$ ", ""))
))))</f>
        <v>0</v>
      </c>
      <c r="P285" s="9"/>
      <c r="Q285" s="10" t="e">
        <f t="shared" si="49"/>
        <v>#DIV/0!</v>
      </c>
      <c r="R285" s="5">
        <f t="shared" si="50"/>
        <v>79.710599999999999</v>
      </c>
      <c r="S285" s="5">
        <f t="shared" si="51"/>
        <v>19.950600000000001</v>
      </c>
      <c r="T285" s="5">
        <f t="shared" si="52"/>
        <v>-2.3904000000000001</v>
      </c>
      <c r="U285" s="5">
        <f t="shared" si="53"/>
        <v>-62.150399999999998</v>
      </c>
    </row>
    <row r="286" spans="1:21" x14ac:dyDescent="0.25">
      <c r="A286" s="11" t="s">
        <v>44</v>
      </c>
      <c r="B286" s="61" t="s">
        <v>351</v>
      </c>
      <c r="C286" s="9">
        <v>68.81</v>
      </c>
      <c r="D286" s="6">
        <v>1</v>
      </c>
      <c r="E286" s="8">
        <v>0.04</v>
      </c>
      <c r="F286" s="49">
        <v>0</v>
      </c>
      <c r="G286" s="9">
        <v>2</v>
      </c>
      <c r="H286" s="9">
        <v>129.9</v>
      </c>
      <c r="I286" s="48">
        <v>0.11</v>
      </c>
      <c r="J286" s="78" cm="1">
        <f t="array" ref="J286">IF(H286&lt;12.5, H286/2,
IF(H286&lt;29, 6.25,
IF(H286&lt;50, 6.5,
IF(H286&lt;79, 6.75,
VALUE(SUBSTITUTE(
INDEX(RESUMO!$J$2:$J$100, MATCH(1,
(D286&gt;=RESUMO!$H$2:$H$100)*(D286&lt;=RESUMO!$I$2:$I$100)*(H286&gt;=RESUMO!$K$2:$K$100)*(H286&lt;=RESUMO!$L$2:$L$100),
0)), "R$ ", ""))
))))</f>
        <v>17.95</v>
      </c>
      <c r="K286" s="9">
        <v>0</v>
      </c>
      <c r="L286" s="10">
        <f t="shared" si="54"/>
        <v>0.20091301000769826</v>
      </c>
      <c r="M286" s="7"/>
      <c r="N286" s="48"/>
      <c r="O286" s="78" cm="1">
        <f t="array" ref="O286">IF(M286&lt;12.5, 0,
IF(M286&lt;29, 6.25,
IF(M286&lt;50, 6.5,
IF(M286&lt;79, 6.75,
VALUE(SUBSTITUTE(
INDEX(RESUMO!$J$2:$J$100, MATCH(1,
(D286&gt;=RESUMO!$H$2:$H$100)*(D286&lt;=RESUMO!$I$2:$I$100)*(M286&gt;=RESUMO!$K$2:$K$100)*(M286&lt;=RESUMO!$L$2:$L$100),
0)), "R$ ", ""))
))))</f>
        <v>0</v>
      </c>
      <c r="P286" s="9"/>
      <c r="Q286" s="10" t="e">
        <f t="shared" si="49"/>
        <v>#DIV/0!</v>
      </c>
      <c r="R286" s="5">
        <f t="shared" si="50"/>
        <v>94.908600000000007</v>
      </c>
      <c r="S286" s="5">
        <f t="shared" si="51"/>
        <v>26.098600000000005</v>
      </c>
      <c r="T286" s="5">
        <f t="shared" si="52"/>
        <v>-2.7524000000000002</v>
      </c>
      <c r="U286" s="5">
        <f t="shared" si="53"/>
        <v>-71.562399999999997</v>
      </c>
    </row>
    <row r="287" spans="1:21" x14ac:dyDescent="0.25">
      <c r="A287" s="11" t="s">
        <v>44</v>
      </c>
      <c r="B287" s="61" t="s">
        <v>352</v>
      </c>
      <c r="C287" s="9">
        <v>72.88</v>
      </c>
      <c r="D287" s="6">
        <v>1</v>
      </c>
      <c r="E287" s="8">
        <v>0.04</v>
      </c>
      <c r="F287" s="49">
        <v>0</v>
      </c>
      <c r="G287" s="9">
        <v>2</v>
      </c>
      <c r="H287" s="9">
        <v>135</v>
      </c>
      <c r="I287" s="48">
        <v>0.11</v>
      </c>
      <c r="J287" s="78" cm="1">
        <f t="array" ref="J287">IF(H287&lt;12.5, H287/2,
IF(H287&lt;29, 6.25,
IF(H287&lt;50, 6.5,
IF(H287&lt;79, 6.75,
VALUE(SUBSTITUTE(
INDEX(RESUMO!$J$2:$J$100, MATCH(1,
(D287&gt;=RESUMO!$H$2:$H$100)*(D287&lt;=RESUMO!$I$2:$I$100)*(H287&gt;=RESUMO!$K$2:$K$100)*(H287&lt;=RESUMO!$L$2:$L$100),
0)), "R$ ", ""))
))))</f>
        <v>17.95</v>
      </c>
      <c r="K287" s="9">
        <v>0</v>
      </c>
      <c r="L287" s="10">
        <f t="shared" si="54"/>
        <v>0.19559111111111119</v>
      </c>
      <c r="M287" s="7"/>
      <c r="N287" s="48"/>
      <c r="O287" s="78" cm="1">
        <f t="array" ref="O287">IF(M287&lt;12.5, 0,
IF(M287&lt;29, 6.25,
IF(M287&lt;50, 6.5,
IF(M287&lt;79, 6.75,
VALUE(SUBSTITUTE(
INDEX(RESUMO!$J$2:$J$100, MATCH(1,
(D287&gt;=RESUMO!$H$2:$H$100)*(D287&lt;=RESUMO!$I$2:$I$100)*(M287&gt;=RESUMO!$K$2:$K$100)*(M287&lt;=RESUMO!$L$2:$L$100),
0)), "R$ ", ""))
))))</f>
        <v>0</v>
      </c>
      <c r="P287" s="9"/>
      <c r="Q287" s="10" t="e">
        <f t="shared" si="49"/>
        <v>#DIV/0!</v>
      </c>
      <c r="R287" s="5">
        <f t="shared" si="50"/>
        <v>99.284800000000004</v>
      </c>
      <c r="S287" s="5">
        <f t="shared" si="51"/>
        <v>26.404800000000009</v>
      </c>
      <c r="T287" s="5">
        <f t="shared" si="52"/>
        <v>-2.9152</v>
      </c>
      <c r="U287" s="5">
        <f t="shared" si="53"/>
        <v>-75.795199999999994</v>
      </c>
    </row>
    <row r="288" spans="1:21" x14ac:dyDescent="0.25">
      <c r="A288" s="11" t="s">
        <v>44</v>
      </c>
      <c r="B288" s="61" t="s">
        <v>353</v>
      </c>
      <c r="C288" s="9">
        <v>72.88</v>
      </c>
      <c r="D288" s="6">
        <v>1</v>
      </c>
      <c r="E288" s="8">
        <v>0.04</v>
      </c>
      <c r="F288" s="49">
        <v>0</v>
      </c>
      <c r="G288" s="9">
        <v>2</v>
      </c>
      <c r="H288" s="9">
        <v>135</v>
      </c>
      <c r="I288" s="48">
        <v>0.11</v>
      </c>
      <c r="J288" s="78" cm="1">
        <f t="array" ref="J288">IF(H288&lt;12.5, H288/2,
IF(H288&lt;29, 6.25,
IF(H288&lt;50, 6.5,
IF(H288&lt;79, 6.75,
VALUE(SUBSTITUTE(
INDEX(RESUMO!$J$2:$J$100, MATCH(1,
(D288&gt;=RESUMO!$H$2:$H$100)*(D288&lt;=RESUMO!$I$2:$I$100)*(H288&gt;=RESUMO!$K$2:$K$100)*(H288&lt;=RESUMO!$L$2:$L$100),
0)), "R$ ", ""))
))))</f>
        <v>17.95</v>
      </c>
      <c r="K288" s="9">
        <v>0</v>
      </c>
      <c r="L288" s="10">
        <f t="shared" si="54"/>
        <v>0.19559111111111119</v>
      </c>
      <c r="M288" s="7"/>
      <c r="N288" s="48"/>
      <c r="O288" s="78" cm="1">
        <f t="array" ref="O288">IF(M288&lt;12.5, 0,
IF(M288&lt;29, 6.25,
IF(M288&lt;50, 6.5,
IF(M288&lt;79, 6.75,
VALUE(SUBSTITUTE(
INDEX(RESUMO!$J$2:$J$100, MATCH(1,
(D288&gt;=RESUMO!$H$2:$H$100)*(D288&lt;=RESUMO!$I$2:$I$100)*(M288&gt;=RESUMO!$K$2:$K$100)*(M288&lt;=RESUMO!$L$2:$L$100),
0)), "R$ ", ""))
))))</f>
        <v>0</v>
      </c>
      <c r="P288" s="9"/>
      <c r="Q288" s="10" t="e">
        <f t="shared" si="49"/>
        <v>#DIV/0!</v>
      </c>
      <c r="R288" s="5">
        <f t="shared" si="50"/>
        <v>99.284800000000004</v>
      </c>
      <c r="S288" s="5">
        <f t="shared" si="51"/>
        <v>26.404800000000009</v>
      </c>
      <c r="T288" s="5">
        <f t="shared" si="52"/>
        <v>-2.9152</v>
      </c>
      <c r="U288" s="5">
        <f t="shared" si="53"/>
        <v>-75.795199999999994</v>
      </c>
    </row>
    <row r="289" spans="1:21" x14ac:dyDescent="0.25">
      <c r="A289" s="11" t="s">
        <v>44</v>
      </c>
      <c r="B289" s="61" t="s">
        <v>354</v>
      </c>
      <c r="C289" s="9">
        <v>78.5</v>
      </c>
      <c r="D289" s="6">
        <v>1</v>
      </c>
      <c r="E289" s="8">
        <v>0.04</v>
      </c>
      <c r="F289" s="49">
        <v>0</v>
      </c>
      <c r="G289" s="9">
        <v>2</v>
      </c>
      <c r="H289" s="9">
        <v>142</v>
      </c>
      <c r="I289" s="48">
        <v>0.11</v>
      </c>
      <c r="J289" s="78" cm="1">
        <f t="array" ref="J289">IF(H289&lt;12.5, H289/2,
IF(H289&lt;29, 6.25,
IF(H289&lt;50, 6.5,
IF(H289&lt;79, 6.75,
VALUE(SUBSTITUTE(
INDEX(RESUMO!$J$2:$J$100, MATCH(1,
(D289&gt;=RESUMO!$H$2:$H$100)*(D289&lt;=RESUMO!$I$2:$I$100)*(H289&gt;=RESUMO!$K$2:$K$100)*(H289&lt;=RESUMO!$L$2:$L$100),
0)), "R$ ", ""))
))))</f>
        <v>17.95</v>
      </c>
      <c r="K289" s="9">
        <v>0</v>
      </c>
      <c r="L289" s="10">
        <f t="shared" si="54"/>
        <v>0.18866197183098585</v>
      </c>
      <c r="M289" s="7"/>
      <c r="N289" s="48"/>
      <c r="O289" s="78" cm="1">
        <f t="array" ref="O289">IF(M289&lt;12.5, 0,
IF(M289&lt;29, 6.25,
IF(M289&lt;50, 6.5,
IF(M289&lt;79, 6.75,
VALUE(SUBSTITUTE(
INDEX(RESUMO!$J$2:$J$100, MATCH(1,
(D289&gt;=RESUMO!$H$2:$H$100)*(D289&lt;=RESUMO!$I$2:$I$100)*(M289&gt;=RESUMO!$K$2:$K$100)*(M289&lt;=RESUMO!$L$2:$L$100),
0)), "R$ ", ""))
))))</f>
        <v>0</v>
      </c>
      <c r="P289" s="9"/>
      <c r="Q289" s="10" t="e">
        <f t="shared" si="49"/>
        <v>#DIV/0!</v>
      </c>
      <c r="R289" s="5">
        <f t="shared" si="50"/>
        <v>105.28999999999999</v>
      </c>
      <c r="S289" s="5">
        <f t="shared" si="51"/>
        <v>26.789999999999992</v>
      </c>
      <c r="T289" s="5">
        <f t="shared" si="52"/>
        <v>-3.14</v>
      </c>
      <c r="U289" s="5">
        <f t="shared" si="53"/>
        <v>-81.64</v>
      </c>
    </row>
    <row r="290" spans="1:21" x14ac:dyDescent="0.25">
      <c r="A290" s="11" t="s">
        <v>44</v>
      </c>
      <c r="B290" s="61" t="s">
        <v>355</v>
      </c>
      <c r="C290" s="9">
        <v>78.5</v>
      </c>
      <c r="D290" s="6">
        <v>1</v>
      </c>
      <c r="E290" s="8">
        <v>0.04</v>
      </c>
      <c r="F290" s="49">
        <v>0</v>
      </c>
      <c r="G290" s="9">
        <v>2</v>
      </c>
      <c r="H290" s="9">
        <v>142</v>
      </c>
      <c r="I290" s="48">
        <v>0.11</v>
      </c>
      <c r="J290" s="78" cm="1">
        <f t="array" ref="J290">IF(H290&lt;12.5, H290/2,
IF(H290&lt;29, 6.25,
IF(H290&lt;50, 6.5,
IF(H290&lt;79, 6.75,
VALUE(SUBSTITUTE(
INDEX(RESUMO!$J$2:$J$100, MATCH(1,
(D290&gt;=RESUMO!$H$2:$H$100)*(D290&lt;=RESUMO!$I$2:$I$100)*(H290&gt;=RESUMO!$K$2:$K$100)*(H290&lt;=RESUMO!$L$2:$L$100),
0)), "R$ ", ""))
))))</f>
        <v>17.95</v>
      </c>
      <c r="K290" s="9">
        <v>0</v>
      </c>
      <c r="L290" s="10">
        <f t="shared" si="54"/>
        <v>0.18866197183098585</v>
      </c>
      <c r="M290" s="7"/>
      <c r="N290" s="48"/>
      <c r="O290" s="78" cm="1">
        <f t="array" ref="O290">IF(M290&lt;12.5, 0,
IF(M290&lt;29, 6.25,
IF(M290&lt;50, 6.5,
IF(M290&lt;79, 6.75,
VALUE(SUBSTITUTE(
INDEX(RESUMO!$J$2:$J$100, MATCH(1,
(D290&gt;=RESUMO!$H$2:$H$100)*(D290&lt;=RESUMO!$I$2:$I$100)*(M290&gt;=RESUMO!$K$2:$K$100)*(M290&lt;=RESUMO!$L$2:$L$100),
0)), "R$ ", ""))
))))</f>
        <v>0</v>
      </c>
      <c r="P290" s="9"/>
      <c r="Q290" s="10" t="e">
        <f t="shared" si="49"/>
        <v>#DIV/0!</v>
      </c>
      <c r="R290" s="5">
        <f t="shared" si="50"/>
        <v>105.28999999999999</v>
      </c>
      <c r="S290" s="5">
        <f t="shared" si="51"/>
        <v>26.789999999999992</v>
      </c>
      <c r="T290" s="5">
        <f t="shared" si="52"/>
        <v>-3.14</v>
      </c>
      <c r="U290" s="5">
        <f t="shared" si="53"/>
        <v>-81.64</v>
      </c>
    </row>
    <row r="291" spans="1:21" x14ac:dyDescent="0.25">
      <c r="A291" s="11" t="s">
        <v>44</v>
      </c>
      <c r="B291" s="61" t="s">
        <v>356</v>
      </c>
      <c r="C291" s="9">
        <v>95.22</v>
      </c>
      <c r="D291" s="6">
        <v>2</v>
      </c>
      <c r="E291" s="8">
        <v>0.04</v>
      </c>
      <c r="F291" s="49">
        <v>0</v>
      </c>
      <c r="G291" s="9">
        <v>2</v>
      </c>
      <c r="H291" s="9">
        <v>169.9</v>
      </c>
      <c r="I291" s="48">
        <v>0.11</v>
      </c>
      <c r="J291" s="78" cm="1">
        <f t="array" ref="J291">IF(H291&lt;12.5, H291/2,
IF(H291&lt;29, 6.25,
IF(H291&lt;50, 6.5,
IF(H291&lt;79, 6.75,
VALUE(SUBSTITUTE(
INDEX(RESUMO!$J$2:$J$100, MATCH(1,
(D291&gt;=RESUMO!$H$2:$H$100)*(D291&lt;=RESUMO!$I$2:$I$100)*(H291&gt;=RESUMO!$K$2:$K$100)*(H291&lt;=RESUMO!$L$2:$L$100),
0)), "R$ ", ""))
))))</f>
        <v>21.1</v>
      </c>
      <c r="K291" s="9">
        <v>0</v>
      </c>
      <c r="L291" s="10">
        <f t="shared" si="54"/>
        <v>0.18294408475573876</v>
      </c>
      <c r="M291" s="7"/>
      <c r="N291" s="48"/>
      <c r="O291" s="78" cm="1">
        <f t="array" ref="O291">IF(M291&lt;12.5, 0,
IF(M291&lt;29, 6.25,
IF(M291&lt;50, 6.5,
IF(M291&lt;79, 6.75,
VALUE(SUBSTITUTE(
INDEX(RESUMO!$J$2:$J$100, MATCH(1,
(D291&gt;=RESUMO!$H$2:$H$100)*(D291&lt;=RESUMO!$I$2:$I$100)*(M291&gt;=RESUMO!$K$2:$K$100)*(M291&lt;=RESUMO!$L$2:$L$100),
0)), "R$ ", ""))
))))</f>
        <v>0</v>
      </c>
      <c r="P291" s="9"/>
      <c r="Q291" s="10" t="e">
        <f t="shared" ref="Q291:Q353" si="55">U291/M291</f>
        <v>#DIV/0!</v>
      </c>
      <c r="R291" s="5">
        <f t="shared" si="50"/>
        <v>126.30220000000001</v>
      </c>
      <c r="S291" s="5">
        <f t="shared" si="51"/>
        <v>31.082200000000014</v>
      </c>
      <c r="T291" s="5">
        <f t="shared" si="52"/>
        <v>-3.8088000000000002</v>
      </c>
      <c r="U291" s="5">
        <f t="shared" si="53"/>
        <v>-99.028800000000004</v>
      </c>
    </row>
    <row r="292" spans="1:21" x14ac:dyDescent="0.25">
      <c r="A292" s="11" t="s">
        <v>44</v>
      </c>
      <c r="B292" s="61" t="s">
        <v>357</v>
      </c>
      <c r="C292" s="9">
        <v>95.22</v>
      </c>
      <c r="D292" s="6">
        <v>2</v>
      </c>
      <c r="E292" s="8">
        <v>0.04</v>
      </c>
      <c r="F292" s="49">
        <v>0</v>
      </c>
      <c r="G292" s="9">
        <v>2</v>
      </c>
      <c r="H292" s="9">
        <v>169.9</v>
      </c>
      <c r="I292" s="48">
        <v>0.11</v>
      </c>
      <c r="J292" s="78" cm="1">
        <f t="array" ref="J292">IF(H292&lt;12.5, H292/2,
IF(H292&lt;29, 6.25,
IF(H292&lt;50, 6.5,
IF(H292&lt;79, 6.75,
VALUE(SUBSTITUTE(
INDEX(RESUMO!$J$2:$J$100, MATCH(1,
(D292&gt;=RESUMO!$H$2:$H$100)*(D292&lt;=RESUMO!$I$2:$I$100)*(H292&gt;=RESUMO!$K$2:$K$100)*(H292&lt;=RESUMO!$L$2:$L$100),
0)), "R$ ", ""))
))))</f>
        <v>21.1</v>
      </c>
      <c r="K292" s="9">
        <v>0</v>
      </c>
      <c r="L292" s="10">
        <f t="shared" si="54"/>
        <v>0.18294408475573876</v>
      </c>
      <c r="M292" s="7"/>
      <c r="N292" s="48"/>
      <c r="O292" s="78" cm="1">
        <f t="array" ref="O292">IF(M292&lt;12.5, 0,
IF(M292&lt;29, 6.25,
IF(M292&lt;50, 6.5,
IF(M292&lt;79, 6.75,
VALUE(SUBSTITUTE(
INDEX(RESUMO!$J$2:$J$100, MATCH(1,
(D292&gt;=RESUMO!$H$2:$H$100)*(D292&lt;=RESUMO!$I$2:$I$100)*(M292&gt;=RESUMO!$K$2:$K$100)*(M292&lt;=RESUMO!$L$2:$L$100),
0)), "R$ ", ""))
))))</f>
        <v>0</v>
      </c>
      <c r="P292" s="9"/>
      <c r="Q292" s="10" t="e">
        <f t="shared" si="55"/>
        <v>#DIV/0!</v>
      </c>
      <c r="R292" s="5">
        <f t="shared" si="50"/>
        <v>126.30220000000001</v>
      </c>
      <c r="S292" s="5">
        <f t="shared" si="51"/>
        <v>31.082200000000014</v>
      </c>
      <c r="T292" s="5">
        <f t="shared" si="52"/>
        <v>-3.8088000000000002</v>
      </c>
      <c r="U292" s="5">
        <f t="shared" si="53"/>
        <v>-99.028800000000004</v>
      </c>
    </row>
    <row r="293" spans="1:21" x14ac:dyDescent="0.25">
      <c r="A293" s="11" t="s">
        <v>44</v>
      </c>
      <c r="B293" s="61" t="s">
        <v>358</v>
      </c>
      <c r="C293" s="9">
        <v>108.8</v>
      </c>
      <c r="D293" s="6">
        <v>2</v>
      </c>
      <c r="E293" s="8">
        <v>0.04</v>
      </c>
      <c r="F293" s="49">
        <v>0</v>
      </c>
      <c r="G293" s="9">
        <v>2</v>
      </c>
      <c r="H293" s="9">
        <v>189</v>
      </c>
      <c r="I293" s="48">
        <v>0.11</v>
      </c>
      <c r="J293" s="78" cm="1">
        <f t="array" ref="J293">IF(H293&lt;12.5, H293/2,
IF(H293&lt;29, 6.25,
IF(H293&lt;50, 6.5,
IF(H293&lt;79, 6.75,
VALUE(SUBSTITUTE(
INDEX(RESUMO!$J$2:$J$100, MATCH(1,
(D293&gt;=RESUMO!$H$2:$H$100)*(D293&lt;=RESUMO!$I$2:$I$100)*(H293&gt;=RESUMO!$K$2:$K$100)*(H293&lt;=RESUMO!$L$2:$L$100),
0)), "R$ ", ""))
))))</f>
        <v>21.1</v>
      </c>
      <c r="K293" s="9">
        <v>0</v>
      </c>
      <c r="L293" s="10">
        <f t="shared" si="54"/>
        <v>0.17967195767195773</v>
      </c>
      <c r="M293" s="7"/>
      <c r="N293" s="48"/>
      <c r="O293" s="78" cm="1">
        <f t="array" ref="O293">IF(M293&lt;12.5, 0,
IF(M293&lt;29, 6.25,
IF(M293&lt;50, 6.5,
IF(M293&lt;79, 6.75,
VALUE(SUBSTITUTE(
INDEX(RESUMO!$J$2:$J$100, MATCH(1,
(D293&gt;=RESUMO!$H$2:$H$100)*(D293&lt;=RESUMO!$I$2:$I$100)*(M293&gt;=RESUMO!$K$2:$K$100)*(M293&lt;=RESUMO!$L$2:$L$100),
0)), "R$ ", ""))
))))</f>
        <v>0</v>
      </c>
      <c r="P293" s="9"/>
      <c r="Q293" s="10" t="e">
        <f t="shared" si="55"/>
        <v>#DIV/0!</v>
      </c>
      <c r="R293" s="5">
        <f t="shared" si="50"/>
        <v>142.75800000000001</v>
      </c>
      <c r="S293" s="5">
        <f t="shared" si="51"/>
        <v>33.958000000000013</v>
      </c>
      <c r="T293" s="5">
        <f t="shared" si="52"/>
        <v>-4.3520000000000003</v>
      </c>
      <c r="U293" s="5">
        <f t="shared" si="53"/>
        <v>-113.152</v>
      </c>
    </row>
    <row r="294" spans="1:21" x14ac:dyDescent="0.25">
      <c r="A294" s="11" t="s">
        <v>44</v>
      </c>
      <c r="B294" s="61" t="s">
        <v>359</v>
      </c>
      <c r="C294" s="9">
        <v>130.59</v>
      </c>
      <c r="D294" s="6">
        <v>2</v>
      </c>
      <c r="E294" s="8">
        <v>0.04</v>
      </c>
      <c r="F294" s="49">
        <v>0</v>
      </c>
      <c r="G294" s="9">
        <v>2</v>
      </c>
      <c r="H294" s="9">
        <v>225</v>
      </c>
      <c r="I294" s="48">
        <v>0.11</v>
      </c>
      <c r="J294" s="78" cm="1">
        <f t="array" ref="J294">IF(H294&lt;12.5, H294/2,
IF(H294&lt;29, 6.25,
IF(H294&lt;50, 6.5,
IF(H294&lt;79, 6.75,
VALUE(SUBSTITUTE(
INDEX(RESUMO!$J$2:$J$100, MATCH(1,
(D294&gt;=RESUMO!$H$2:$H$100)*(D294&lt;=RESUMO!$I$2:$I$100)*(H294&gt;=RESUMO!$K$2:$K$100)*(H294&lt;=RESUMO!$L$2:$L$100),
0)), "R$ ", ""))
))))</f>
        <v>23.45</v>
      </c>
      <c r="K294" s="9">
        <v>0</v>
      </c>
      <c r="L294" s="10">
        <f t="shared" si="54"/>
        <v>0.18216177777777778</v>
      </c>
      <c r="M294" s="7"/>
      <c r="N294" s="48"/>
      <c r="O294" s="78" cm="1">
        <f t="array" ref="O294">IF(M294&lt;12.5, 0,
IF(M294&lt;29, 6.25,
IF(M294&lt;50, 6.5,
IF(M294&lt;79, 6.75,
VALUE(SUBSTITUTE(
INDEX(RESUMO!$J$2:$J$100, MATCH(1,
(D294&gt;=RESUMO!$H$2:$H$100)*(D294&lt;=RESUMO!$I$2:$I$100)*(M294&gt;=RESUMO!$K$2:$K$100)*(M294&lt;=RESUMO!$L$2:$L$100),
0)), "R$ ", ""))
))))</f>
        <v>0</v>
      </c>
      <c r="P294" s="9"/>
      <c r="Q294" s="10" t="e">
        <f t="shared" si="55"/>
        <v>#DIV/0!</v>
      </c>
      <c r="R294" s="5">
        <f t="shared" si="50"/>
        <v>171.57640000000001</v>
      </c>
      <c r="S294" s="5">
        <f t="shared" si="51"/>
        <v>40.986400000000003</v>
      </c>
      <c r="T294" s="5">
        <f t="shared" si="52"/>
        <v>-5.2236000000000002</v>
      </c>
      <c r="U294" s="5">
        <f t="shared" si="53"/>
        <v>-135.81360000000001</v>
      </c>
    </row>
    <row r="295" spans="1:21" x14ac:dyDescent="0.25">
      <c r="A295" s="11" t="s">
        <v>44</v>
      </c>
      <c r="B295" s="61" t="s">
        <v>360</v>
      </c>
      <c r="C295" s="9">
        <v>144.47999999999999</v>
      </c>
      <c r="D295" s="6">
        <v>2</v>
      </c>
      <c r="E295" s="8">
        <v>0.04</v>
      </c>
      <c r="F295" s="49">
        <v>0</v>
      </c>
      <c r="G295" s="9">
        <v>2</v>
      </c>
      <c r="H295" s="9">
        <v>244.9</v>
      </c>
      <c r="I295" s="48">
        <v>0.11</v>
      </c>
      <c r="J295" s="78" cm="1">
        <f t="array" ref="J295">IF(H295&lt;12.5, H295/2,
IF(H295&lt;29, 6.25,
IF(H295&lt;50, 6.5,
IF(H295&lt;79, 6.75,
VALUE(SUBSTITUTE(
INDEX(RESUMO!$J$2:$J$100, MATCH(1,
(D295&gt;=RESUMO!$H$2:$H$100)*(D295&lt;=RESUMO!$I$2:$I$100)*(H295&gt;=RESUMO!$K$2:$K$100)*(H295&lt;=RESUMO!$L$2:$L$100),
0)), "R$ ", ""))
))))</f>
        <v>23.45</v>
      </c>
      <c r="K295" s="9">
        <v>0</v>
      </c>
      <c r="L295" s="10">
        <f t="shared" si="54"/>
        <v>0.1806933442221316</v>
      </c>
      <c r="M295" s="7"/>
      <c r="N295" s="48"/>
      <c r="O295" s="78" cm="1">
        <f t="array" ref="O295">IF(M295&lt;12.5, 0,
IF(M295&lt;29, 6.25,
IF(M295&lt;50, 6.5,
IF(M295&lt;79, 6.75,
VALUE(SUBSTITUTE(
INDEX(RESUMO!$J$2:$J$100, MATCH(1,
(D295&gt;=RESUMO!$H$2:$H$100)*(D295&lt;=RESUMO!$I$2:$I$100)*(M295&gt;=RESUMO!$K$2:$K$100)*(M295&lt;=RESUMO!$L$2:$L$100),
0)), "R$ ", ""))
))))</f>
        <v>0</v>
      </c>
      <c r="P295" s="9"/>
      <c r="Q295" s="10" t="e">
        <f t="shared" si="55"/>
        <v>#DIV/0!</v>
      </c>
      <c r="R295" s="5">
        <f t="shared" si="50"/>
        <v>188.73180000000002</v>
      </c>
      <c r="S295" s="5">
        <f t="shared" si="51"/>
        <v>44.251800000000031</v>
      </c>
      <c r="T295" s="5">
        <f t="shared" si="52"/>
        <v>-5.7791999999999994</v>
      </c>
      <c r="U295" s="5">
        <f t="shared" si="53"/>
        <v>-150.25919999999999</v>
      </c>
    </row>
    <row r="296" spans="1:21" x14ac:dyDescent="0.25">
      <c r="A296" s="11" t="s">
        <v>44</v>
      </c>
      <c r="B296" s="61" t="s">
        <v>361</v>
      </c>
      <c r="C296" s="9">
        <v>144.47999999999999</v>
      </c>
      <c r="D296" s="6">
        <v>2</v>
      </c>
      <c r="E296" s="8">
        <v>0.04</v>
      </c>
      <c r="F296" s="49">
        <v>0</v>
      </c>
      <c r="G296" s="9">
        <v>2</v>
      </c>
      <c r="H296" s="9">
        <v>244.9</v>
      </c>
      <c r="I296" s="48">
        <v>0.11</v>
      </c>
      <c r="J296" s="78" cm="1">
        <f t="array" ref="J296">IF(H296&lt;12.5, H296/2,
IF(H296&lt;29, 6.25,
IF(H296&lt;50, 6.5,
IF(H296&lt;79, 6.75,
VALUE(SUBSTITUTE(
INDEX(RESUMO!$J$2:$J$100, MATCH(1,
(D296&gt;=RESUMO!$H$2:$H$100)*(D296&lt;=RESUMO!$I$2:$I$100)*(H296&gt;=RESUMO!$K$2:$K$100)*(H296&lt;=RESUMO!$L$2:$L$100),
0)), "R$ ", ""))
))))</f>
        <v>23.45</v>
      </c>
      <c r="K296" s="9">
        <v>0</v>
      </c>
      <c r="L296" s="10">
        <f t="shared" si="54"/>
        <v>0.1806933442221316</v>
      </c>
      <c r="M296" s="7"/>
      <c r="N296" s="48"/>
      <c r="O296" s="78" cm="1">
        <f t="array" ref="O296">IF(M296&lt;12.5, 0,
IF(M296&lt;29, 6.25,
IF(M296&lt;50, 6.5,
IF(M296&lt;79, 6.75,
VALUE(SUBSTITUTE(
INDEX(RESUMO!$J$2:$J$100, MATCH(1,
(D296&gt;=RESUMO!$H$2:$H$100)*(D296&lt;=RESUMO!$I$2:$I$100)*(M296&gt;=RESUMO!$K$2:$K$100)*(M296&lt;=RESUMO!$L$2:$L$100),
0)), "R$ ", ""))
))))</f>
        <v>0</v>
      </c>
      <c r="P296" s="9"/>
      <c r="Q296" s="10" t="e">
        <f t="shared" si="55"/>
        <v>#DIV/0!</v>
      </c>
      <c r="R296" s="5">
        <f t="shared" si="50"/>
        <v>188.73180000000002</v>
      </c>
      <c r="S296" s="5">
        <f t="shared" si="51"/>
        <v>44.251800000000031</v>
      </c>
      <c r="T296" s="5">
        <f t="shared" si="52"/>
        <v>-5.7791999999999994</v>
      </c>
      <c r="U296" s="5">
        <f t="shared" si="53"/>
        <v>-150.25919999999999</v>
      </c>
    </row>
    <row r="297" spans="1:21" x14ac:dyDescent="0.25">
      <c r="A297" s="11" t="s">
        <v>44</v>
      </c>
      <c r="B297" s="61" t="s">
        <v>362</v>
      </c>
      <c r="C297" s="9">
        <v>134.08000000000001</v>
      </c>
      <c r="D297" s="6">
        <v>2</v>
      </c>
      <c r="E297" s="8">
        <v>0.04</v>
      </c>
      <c r="F297" s="49">
        <v>0</v>
      </c>
      <c r="G297" s="9">
        <v>21</v>
      </c>
      <c r="H297" s="9">
        <v>229.9</v>
      </c>
      <c r="I297" s="48">
        <v>0.11</v>
      </c>
      <c r="J297" s="78" cm="1">
        <f t="array" ref="J297">IF(H297&lt;12.5, H297/2,
IF(H297&lt;29, 6.25,
IF(H297&lt;50, 6.5,
IF(H297&lt;79, 6.75,
VALUE(SUBSTITUTE(
INDEX(RESUMO!$J$2:$J$100, MATCH(1,
(D297&gt;=RESUMO!$H$2:$H$100)*(D297&lt;=RESUMO!$I$2:$I$100)*(H297&gt;=RESUMO!$K$2:$K$100)*(H297&lt;=RESUMO!$L$2:$L$100),
0)), "R$ ", ""))
))))</f>
        <v>23.45</v>
      </c>
      <c r="K297" s="9">
        <v>0</v>
      </c>
      <c r="L297" s="10">
        <f t="shared" si="54"/>
        <v>0.18146063505872109</v>
      </c>
      <c r="M297" s="7"/>
      <c r="N297" s="48"/>
      <c r="O297" s="78" cm="1">
        <f t="array" ref="O297">IF(M297&lt;12.5, 0,
IF(M297&lt;29, 6.25,
IF(M297&lt;50, 6.5,
IF(M297&lt;79, 6.75,
VALUE(SUBSTITUTE(
INDEX(RESUMO!$J$2:$J$100, MATCH(1,
(D297&gt;=RESUMO!$H$2:$H$100)*(D297&lt;=RESUMO!$I$2:$I$100)*(M297&gt;=RESUMO!$K$2:$K$100)*(M297&lt;=RESUMO!$L$2:$L$100),
0)), "R$ ", ""))
))))</f>
        <v>0</v>
      </c>
      <c r="P297" s="9"/>
      <c r="Q297" s="10" t="e">
        <f t="shared" si="55"/>
        <v>#DIV/0!</v>
      </c>
      <c r="R297" s="5">
        <f t="shared" si="50"/>
        <v>175.7978</v>
      </c>
      <c r="S297" s="5">
        <f t="shared" si="51"/>
        <v>41.717799999999983</v>
      </c>
      <c r="T297" s="5">
        <f t="shared" si="52"/>
        <v>-5.3632000000000009</v>
      </c>
      <c r="U297" s="5">
        <f t="shared" si="53"/>
        <v>-139.44320000000002</v>
      </c>
    </row>
    <row r="298" spans="1:21" x14ac:dyDescent="0.25">
      <c r="A298" s="11" t="s">
        <v>44</v>
      </c>
      <c r="B298" s="61" t="s">
        <v>363</v>
      </c>
      <c r="C298" s="9">
        <v>134.08000000000001</v>
      </c>
      <c r="D298" s="6">
        <v>2</v>
      </c>
      <c r="E298" s="8">
        <v>0.04</v>
      </c>
      <c r="F298" s="49">
        <v>0</v>
      </c>
      <c r="G298" s="9">
        <v>21</v>
      </c>
      <c r="H298" s="9">
        <v>229.9</v>
      </c>
      <c r="I298" s="48">
        <v>0.11</v>
      </c>
      <c r="J298" s="78" cm="1">
        <f t="array" ref="J298">IF(H298&lt;12.5, H298/2,
IF(H298&lt;29, 6.25,
IF(H298&lt;50, 6.5,
IF(H298&lt;79, 6.75,
VALUE(SUBSTITUTE(
INDEX(RESUMO!$J$2:$J$100, MATCH(1,
(D298&gt;=RESUMO!$H$2:$H$100)*(D298&lt;=RESUMO!$I$2:$I$100)*(H298&gt;=RESUMO!$K$2:$K$100)*(H298&lt;=RESUMO!$L$2:$L$100),
0)), "R$ ", ""))
))))</f>
        <v>23.45</v>
      </c>
      <c r="K298" s="9">
        <v>0</v>
      </c>
      <c r="L298" s="10">
        <f t="shared" si="54"/>
        <v>0.18146063505872109</v>
      </c>
      <c r="M298" s="7"/>
      <c r="N298" s="48"/>
      <c r="O298" s="78" cm="1">
        <f t="array" ref="O298">IF(M298&lt;12.5, 0,
IF(M298&lt;29, 6.25,
IF(M298&lt;50, 6.5,
IF(M298&lt;79, 6.75,
VALUE(SUBSTITUTE(
INDEX(RESUMO!$J$2:$J$100, MATCH(1,
(D298&gt;=RESUMO!$H$2:$H$100)*(D298&lt;=RESUMO!$I$2:$I$100)*(M298&gt;=RESUMO!$K$2:$K$100)*(M298&lt;=RESUMO!$L$2:$L$100),
0)), "R$ ", ""))
))))</f>
        <v>0</v>
      </c>
      <c r="P298" s="9"/>
      <c r="Q298" s="10" t="e">
        <f t="shared" si="55"/>
        <v>#DIV/0!</v>
      </c>
      <c r="R298" s="5">
        <f>(H298-(H298*I298)-J298-(C298*E298)+K298)</f>
        <v>175.7978</v>
      </c>
      <c r="S298" s="5">
        <f>R298-(C298-F298)</f>
        <v>41.717799999999983</v>
      </c>
      <c r="T298" s="5">
        <f>(M298-(M298*N298)-O298-(C298*E298)+P298)</f>
        <v>-5.3632000000000009</v>
      </c>
      <c r="U298" s="5">
        <f>T298-(C298-F298)</f>
        <v>-139.44320000000002</v>
      </c>
    </row>
    <row r="299" spans="1:21" x14ac:dyDescent="0.25">
      <c r="A299" s="11" t="s">
        <v>44</v>
      </c>
      <c r="B299" s="6" t="s">
        <v>364</v>
      </c>
      <c r="C299" s="9">
        <v>186.6</v>
      </c>
      <c r="D299" s="6">
        <v>2</v>
      </c>
      <c r="E299" s="8">
        <v>0.04</v>
      </c>
      <c r="F299" s="49">
        <v>0</v>
      </c>
      <c r="G299" s="9">
        <v>1</v>
      </c>
      <c r="H299" s="9">
        <v>307</v>
      </c>
      <c r="I299" s="48">
        <v>0.11</v>
      </c>
      <c r="J299" s="78" cm="1">
        <f t="array" ref="J299">IF(H299&lt;12.5, H299/2,
IF(H299&lt;29, 6.25,
IF(H299&lt;50, 6.5,
IF(H299&lt;79, 6.75,
VALUE(SUBSTITUTE(
INDEX(RESUMO!$J$2:$J$100, MATCH(1,
(D299&gt;=RESUMO!$H$2:$H$100)*(D299&lt;=RESUMO!$I$2:$I$100)*(H299&gt;=RESUMO!$K$2:$K$100)*(H299&lt;=RESUMO!$L$2:$L$100),
0)), "R$ ", ""))
))))</f>
        <v>23.45</v>
      </c>
      <c r="K299" s="9">
        <v>0</v>
      </c>
      <c r="L299" s="10">
        <f t="shared" si="54"/>
        <v>0.18148534201954408</v>
      </c>
      <c r="M299" s="7"/>
      <c r="N299" s="48"/>
      <c r="O299" s="78" cm="1">
        <f t="array" ref="O299">IF(M299&lt;12.5, 0,
IF(M299&lt;29, 6.25,
IF(M299&lt;50, 6.5,
IF(M299&lt;79, 6.75,
VALUE(SUBSTITUTE(
INDEX(RESUMO!$J$2:$J$100, MATCH(1,
(D299&gt;=RESUMO!$H$2:$H$100)*(D299&lt;=RESUMO!$I$2:$I$100)*(M299&gt;=RESUMO!$K$2:$K$100)*(M299&lt;=RESUMO!$L$2:$L$100),
0)), "R$ ", ""))
))))</f>
        <v>0</v>
      </c>
      <c r="P299" s="9"/>
      <c r="Q299" s="10" t="e">
        <f t="shared" si="55"/>
        <v>#DIV/0!</v>
      </c>
      <c r="R299" s="5">
        <f t="shared" si="50"/>
        <v>242.31600000000003</v>
      </c>
      <c r="S299" s="5">
        <f t="shared" si="51"/>
        <v>55.716000000000037</v>
      </c>
      <c r="T299" s="5">
        <f t="shared" si="52"/>
        <v>-7.4639999999999995</v>
      </c>
      <c r="U299" s="5">
        <f t="shared" si="53"/>
        <v>-194.06399999999999</v>
      </c>
    </row>
    <row r="300" spans="1:21" x14ac:dyDescent="0.25">
      <c r="A300" s="11" t="s">
        <v>44</v>
      </c>
      <c r="B300" s="6" t="s">
        <v>365</v>
      </c>
      <c r="C300" s="9">
        <v>186.6</v>
      </c>
      <c r="D300" s="6">
        <v>2</v>
      </c>
      <c r="E300" s="8">
        <v>0.04</v>
      </c>
      <c r="F300" s="49">
        <v>0</v>
      </c>
      <c r="G300" s="9">
        <v>1</v>
      </c>
      <c r="H300" s="9">
        <v>307</v>
      </c>
      <c r="I300" s="48">
        <v>0.11</v>
      </c>
      <c r="J300" s="78" cm="1">
        <f t="array" ref="J300">IF(H300&lt;12.5, H300/2,
IF(H300&lt;29, 6.25,
IF(H300&lt;50, 6.5,
IF(H300&lt;79, 6.75,
VALUE(SUBSTITUTE(
INDEX(RESUMO!$J$2:$J$100, MATCH(1,
(D300&gt;=RESUMO!$H$2:$H$100)*(D300&lt;=RESUMO!$I$2:$I$100)*(H300&gt;=RESUMO!$K$2:$K$100)*(H300&lt;=RESUMO!$L$2:$L$100),
0)), "R$ ", ""))
))))</f>
        <v>23.45</v>
      </c>
      <c r="K300" s="9">
        <v>0</v>
      </c>
      <c r="L300" s="10">
        <f t="shared" si="54"/>
        <v>0.18148534201954408</v>
      </c>
      <c r="M300" s="7"/>
      <c r="N300" s="48"/>
      <c r="O300" s="78" cm="1">
        <f t="array" ref="O300">IF(M300&lt;12.5, 0,
IF(M300&lt;29, 6.25,
IF(M300&lt;50, 6.5,
IF(M300&lt;79, 6.75,
VALUE(SUBSTITUTE(
INDEX(RESUMO!$J$2:$J$100, MATCH(1,
(D300&gt;=RESUMO!$H$2:$H$100)*(D300&lt;=RESUMO!$I$2:$I$100)*(M300&gt;=RESUMO!$K$2:$K$100)*(M300&lt;=RESUMO!$L$2:$L$100),
0)), "R$ ", ""))
))))</f>
        <v>0</v>
      </c>
      <c r="P300" s="9"/>
      <c r="Q300" s="10" t="e">
        <f t="shared" si="55"/>
        <v>#DIV/0!</v>
      </c>
      <c r="R300" s="5">
        <f t="shared" si="50"/>
        <v>242.31600000000003</v>
      </c>
      <c r="S300" s="5">
        <f t="shared" si="51"/>
        <v>55.716000000000037</v>
      </c>
      <c r="T300" s="5">
        <f t="shared" si="52"/>
        <v>-7.4639999999999995</v>
      </c>
      <c r="U300" s="5">
        <f t="shared" si="53"/>
        <v>-194.06399999999999</v>
      </c>
    </row>
    <row r="301" spans="1:21" x14ac:dyDescent="0.25">
      <c r="A301" s="11" t="s">
        <v>44</v>
      </c>
      <c r="B301" s="6" t="s">
        <v>366</v>
      </c>
      <c r="C301" s="9">
        <v>165.99</v>
      </c>
      <c r="D301" s="6">
        <v>2</v>
      </c>
      <c r="E301" s="8">
        <v>0.04</v>
      </c>
      <c r="F301" s="49">
        <v>0</v>
      </c>
      <c r="G301" s="9">
        <v>2</v>
      </c>
      <c r="H301" s="9">
        <v>277</v>
      </c>
      <c r="I301" s="48">
        <v>0.11</v>
      </c>
      <c r="J301" s="78" cm="1">
        <f t="array" ref="J301">IF(H301&lt;12.5, H301/2,
IF(H301&lt;29, 6.25,
IF(H301&lt;50, 6.5,
IF(H301&lt;79, 6.75,
VALUE(SUBSTITUTE(
INDEX(RESUMO!$J$2:$J$100, MATCH(1,
(D301&gt;=RESUMO!$H$2:$H$100)*(D301&lt;=RESUMO!$I$2:$I$100)*(H301&gt;=RESUMO!$K$2:$K$100)*(H301&lt;=RESUMO!$L$2:$L$100),
0)), "R$ ", ""))
))))</f>
        <v>23.45</v>
      </c>
      <c r="K301" s="9">
        <v>0</v>
      </c>
      <c r="L301" s="10">
        <f t="shared" si="54"/>
        <v>0.18213140794223828</v>
      </c>
      <c r="M301" s="7"/>
      <c r="N301" s="48"/>
      <c r="O301" s="78" cm="1">
        <f t="array" ref="O301">IF(M301&lt;12.5, 0,
IF(M301&lt;29, 6.25,
IF(M301&lt;50, 6.5,
IF(M301&lt;79, 6.75,
VALUE(SUBSTITUTE(
INDEX(RESUMO!$J$2:$J$100, MATCH(1,
(D301&gt;=RESUMO!$H$2:$H$100)*(D301&lt;=RESUMO!$I$2:$I$100)*(M301&gt;=RESUMO!$K$2:$K$100)*(M301&lt;=RESUMO!$L$2:$L$100),
0)), "R$ ", ""))
))))</f>
        <v>0</v>
      </c>
      <c r="P301" s="9"/>
      <c r="Q301" s="10" t="e">
        <f t="shared" si="55"/>
        <v>#DIV/0!</v>
      </c>
      <c r="R301" s="5">
        <f t="shared" si="50"/>
        <v>216.44040000000001</v>
      </c>
      <c r="S301" s="5">
        <f t="shared" si="51"/>
        <v>50.450400000000002</v>
      </c>
      <c r="T301" s="5">
        <f t="shared" si="52"/>
        <v>-6.6396000000000006</v>
      </c>
      <c r="U301" s="5">
        <f t="shared" si="53"/>
        <v>-172.62960000000001</v>
      </c>
    </row>
    <row r="302" spans="1:21" x14ac:dyDescent="0.25">
      <c r="A302" s="11" t="s">
        <v>44</v>
      </c>
      <c r="B302" s="61" t="s">
        <v>367</v>
      </c>
      <c r="C302" s="9">
        <v>93.88</v>
      </c>
      <c r="D302" s="6">
        <v>2</v>
      </c>
      <c r="E302" s="8">
        <v>0.04</v>
      </c>
      <c r="F302" s="49">
        <v>0</v>
      </c>
      <c r="G302" s="9">
        <v>2</v>
      </c>
      <c r="H302" s="9">
        <v>167.9</v>
      </c>
      <c r="I302" s="48">
        <v>0.11</v>
      </c>
      <c r="J302" s="78" cm="1">
        <f t="array" ref="J302">IF(H302&lt;12.5, H302/2,
IF(H302&lt;29, 6.25,
IF(H302&lt;50, 6.5,
IF(H302&lt;79, 6.75,
VALUE(SUBSTITUTE(
INDEX(RESUMO!$J$2:$J$100, MATCH(1,
(D302&gt;=RESUMO!$H$2:$H$100)*(D302&lt;=RESUMO!$I$2:$I$100)*(H302&gt;=RESUMO!$K$2:$K$100)*(H302&lt;=RESUMO!$L$2:$L$100),
0)), "R$ ", ""))
))))</f>
        <v>21.1</v>
      </c>
      <c r="K302" s="9">
        <v>0</v>
      </c>
      <c r="L302" s="10">
        <f t="shared" si="54"/>
        <v>0.1828219178082193</v>
      </c>
      <c r="M302" s="7"/>
      <c r="N302" s="48"/>
      <c r="O302" s="78" cm="1">
        <f t="array" ref="O302">IF(M302&lt;12.5, 0,
IF(M302&lt;29, 6.25,
IF(M302&lt;50, 6.5,
IF(M302&lt;79, 6.75,
VALUE(SUBSTITUTE(
INDEX(RESUMO!$J$2:$J$100, MATCH(1,
(D302&gt;=RESUMO!$H$2:$H$100)*(D302&lt;=RESUMO!$I$2:$I$100)*(M302&gt;=RESUMO!$K$2:$K$100)*(M302&lt;=RESUMO!$L$2:$L$100),
0)), "R$ ", ""))
))))</f>
        <v>0</v>
      </c>
      <c r="P302" s="9"/>
      <c r="Q302" s="10" t="e">
        <f t="shared" si="55"/>
        <v>#DIV/0!</v>
      </c>
      <c r="R302" s="5">
        <f t="shared" si="50"/>
        <v>124.57580000000002</v>
      </c>
      <c r="S302" s="5">
        <f t="shared" si="51"/>
        <v>30.69580000000002</v>
      </c>
      <c r="T302" s="5">
        <f t="shared" si="52"/>
        <v>-3.7551999999999999</v>
      </c>
      <c r="U302" s="5">
        <f t="shared" si="53"/>
        <v>-97.635199999999998</v>
      </c>
    </row>
    <row r="303" spans="1:21" x14ac:dyDescent="0.25">
      <c r="A303" s="11" t="s">
        <v>44</v>
      </c>
      <c r="B303" s="61" t="s">
        <v>368</v>
      </c>
      <c r="C303" s="9">
        <v>88.33</v>
      </c>
      <c r="D303" s="6">
        <v>1</v>
      </c>
      <c r="E303" s="8">
        <v>0.04</v>
      </c>
      <c r="F303" s="49">
        <v>0</v>
      </c>
      <c r="G303" s="9">
        <v>2</v>
      </c>
      <c r="H303" s="9">
        <v>158</v>
      </c>
      <c r="I303" s="48">
        <v>0.11</v>
      </c>
      <c r="J303" s="78" cm="1">
        <f t="array" ref="J303">IF(H303&lt;12.5, H303/2,
IF(H303&lt;29, 6.25,
IF(H303&lt;50, 6.5,
IF(H303&lt;79, 6.75,
VALUE(SUBSTITUTE(
INDEX(RESUMO!$J$2:$J$100, MATCH(1,
(D303&gt;=RESUMO!$H$2:$H$100)*(D303&lt;=RESUMO!$I$2:$I$100)*(H303&gt;=RESUMO!$K$2:$K$100)*(H303&lt;=RESUMO!$L$2:$L$100),
0)), "R$ ", ""))
))))</f>
        <v>20.2</v>
      </c>
      <c r="K303" s="9">
        <v>0</v>
      </c>
      <c r="L303" s="10">
        <f t="shared" si="54"/>
        <v>0.18073924050632917</v>
      </c>
      <c r="M303" s="7"/>
      <c r="N303" s="48"/>
      <c r="O303" s="78" cm="1">
        <f t="array" ref="O303">IF(M303&lt;12.5, 0,
IF(M303&lt;29, 6.25,
IF(M303&lt;50, 6.5,
IF(M303&lt;79, 6.75,
VALUE(SUBSTITUTE(
INDEX(RESUMO!$J$2:$J$100, MATCH(1,
(D303&gt;=RESUMO!$H$2:$H$100)*(D303&lt;=RESUMO!$I$2:$I$100)*(M303&gt;=RESUMO!$K$2:$K$100)*(M303&lt;=RESUMO!$L$2:$L$100),
0)), "R$ ", ""))
))))</f>
        <v>0</v>
      </c>
      <c r="P303" s="9"/>
      <c r="Q303" s="10" t="e">
        <f t="shared" si="55"/>
        <v>#DIV/0!</v>
      </c>
      <c r="R303" s="5">
        <f t="shared" si="50"/>
        <v>116.88680000000001</v>
      </c>
      <c r="S303" s="5">
        <f t="shared" si="51"/>
        <v>28.55680000000001</v>
      </c>
      <c r="T303" s="5">
        <f t="shared" si="52"/>
        <v>-3.5331999999999999</v>
      </c>
      <c r="U303" s="5">
        <f t="shared" si="53"/>
        <v>-91.863199999999992</v>
      </c>
    </row>
    <row r="304" spans="1:21" x14ac:dyDescent="0.25">
      <c r="A304" s="11" t="s">
        <v>44</v>
      </c>
      <c r="B304" s="61" t="s">
        <v>369</v>
      </c>
      <c r="C304" s="9">
        <v>108.69</v>
      </c>
      <c r="D304" s="6">
        <v>2</v>
      </c>
      <c r="E304" s="8">
        <v>0.04</v>
      </c>
      <c r="F304" s="49">
        <v>0</v>
      </c>
      <c r="G304" s="9">
        <v>2</v>
      </c>
      <c r="H304" s="9">
        <v>189</v>
      </c>
      <c r="I304" s="48">
        <v>0.11</v>
      </c>
      <c r="J304" s="78" cm="1">
        <f t="array" ref="J304">IF(H304&lt;12.5, H304/2,
IF(H304&lt;29, 6.25,
IF(H304&lt;50, 6.5,
IF(H304&lt;79, 6.75,
VALUE(SUBSTITUTE(
INDEX(RESUMO!$J$2:$J$100, MATCH(1,
(D304&gt;=RESUMO!$H$2:$H$100)*(D304&lt;=RESUMO!$I$2:$I$100)*(H304&gt;=RESUMO!$K$2:$K$100)*(H304&lt;=RESUMO!$L$2:$L$100),
0)), "R$ ", ""))
))))</f>
        <v>21.1</v>
      </c>
      <c r="K304" s="9">
        <v>0</v>
      </c>
      <c r="L304" s="10">
        <f t="shared" si="54"/>
        <v>0.18027724867724876</v>
      </c>
      <c r="M304" s="7"/>
      <c r="N304" s="48"/>
      <c r="O304" s="78" cm="1">
        <f t="array" ref="O304">IF(M304&lt;12.5, 0,
IF(M304&lt;29, 6.25,
IF(M304&lt;50, 6.5,
IF(M304&lt;79, 6.75,
VALUE(SUBSTITUTE(
INDEX(RESUMO!$J$2:$J$100, MATCH(1,
(D304&gt;=RESUMO!$H$2:$H$100)*(D304&lt;=RESUMO!$I$2:$I$100)*(M304&gt;=RESUMO!$K$2:$K$100)*(M304&lt;=RESUMO!$L$2:$L$100),
0)), "R$ ", ""))
))))</f>
        <v>0</v>
      </c>
      <c r="P304" s="9"/>
      <c r="Q304" s="10" t="e">
        <f t="shared" si="55"/>
        <v>#DIV/0!</v>
      </c>
      <c r="R304" s="5">
        <f t="shared" si="50"/>
        <v>142.76240000000001</v>
      </c>
      <c r="S304" s="5">
        <f t="shared" si="51"/>
        <v>34.072400000000016</v>
      </c>
      <c r="T304" s="5">
        <f t="shared" si="52"/>
        <v>-4.3475999999999999</v>
      </c>
      <c r="U304" s="5">
        <f t="shared" si="53"/>
        <v>-113.0376</v>
      </c>
    </row>
    <row r="305" spans="1:21" x14ac:dyDescent="0.25">
      <c r="A305" s="11" t="s">
        <v>44</v>
      </c>
      <c r="B305" s="6" t="s">
        <v>370</v>
      </c>
      <c r="C305" s="9">
        <v>108.69</v>
      </c>
      <c r="D305" s="6">
        <v>2</v>
      </c>
      <c r="E305" s="8">
        <v>0.04</v>
      </c>
      <c r="F305" s="49">
        <v>0</v>
      </c>
      <c r="G305" s="9">
        <v>1</v>
      </c>
      <c r="H305" s="9">
        <v>189</v>
      </c>
      <c r="I305" s="48">
        <v>0.11</v>
      </c>
      <c r="J305" s="78" cm="1">
        <f t="array" ref="J305">IF(H305&lt;12.5, H305/2,
IF(H305&lt;29, 6.25,
IF(H305&lt;50, 6.5,
IF(H305&lt;79, 6.75,
VALUE(SUBSTITUTE(
INDEX(RESUMO!$J$2:$J$100, MATCH(1,
(D305&gt;=RESUMO!$H$2:$H$100)*(D305&lt;=RESUMO!$I$2:$I$100)*(H305&gt;=RESUMO!$K$2:$K$100)*(H305&lt;=RESUMO!$L$2:$L$100),
0)), "R$ ", ""))
))))</f>
        <v>21.1</v>
      </c>
      <c r="K305" s="9">
        <v>0</v>
      </c>
      <c r="L305" s="10">
        <f t="shared" si="54"/>
        <v>0.18027724867724876</v>
      </c>
      <c r="M305" s="7"/>
      <c r="N305" s="48"/>
      <c r="O305" s="78" cm="1">
        <f t="array" ref="O305">IF(M305&lt;12.5, 0,
IF(M305&lt;29, 6.25,
IF(M305&lt;50, 6.5,
IF(M305&lt;79, 6.75,
VALUE(SUBSTITUTE(
INDEX(RESUMO!$J$2:$J$100, MATCH(1,
(D305&gt;=RESUMO!$H$2:$H$100)*(D305&lt;=RESUMO!$I$2:$I$100)*(M305&gt;=RESUMO!$K$2:$K$100)*(M305&lt;=RESUMO!$L$2:$L$100),
0)), "R$ ", ""))
))))</f>
        <v>0</v>
      </c>
      <c r="P305" s="9"/>
      <c r="Q305" s="10" t="e">
        <f t="shared" si="55"/>
        <v>#DIV/0!</v>
      </c>
      <c r="R305" s="5">
        <f t="shared" ref="R305:R366" si="56">(H305-(H305*I305)-J305-(C305*E305)+K305)</f>
        <v>142.76240000000001</v>
      </c>
      <c r="S305" s="5">
        <f t="shared" ref="S305:S366" si="57">R305-(C305-F305)</f>
        <v>34.072400000000016</v>
      </c>
      <c r="T305" s="5">
        <f t="shared" ref="T305:T366" si="58">(M305-(M305*N305)-O305-(C305*E305)+P305)</f>
        <v>-4.3475999999999999</v>
      </c>
      <c r="U305" s="5">
        <f t="shared" ref="U305:U366" si="59">T305-(C305-F305)</f>
        <v>-113.0376</v>
      </c>
    </row>
    <row r="306" spans="1:21" x14ac:dyDescent="0.25">
      <c r="A306" s="11" t="s">
        <v>44</v>
      </c>
      <c r="B306" s="61" t="s">
        <v>371</v>
      </c>
      <c r="C306" s="9">
        <v>90.19</v>
      </c>
      <c r="D306" s="6">
        <v>2</v>
      </c>
      <c r="E306" s="8">
        <v>0.04</v>
      </c>
      <c r="F306" s="49">
        <v>0</v>
      </c>
      <c r="G306" s="9">
        <v>2</v>
      </c>
      <c r="H306" s="9">
        <v>162</v>
      </c>
      <c r="I306" s="48">
        <v>0.11</v>
      </c>
      <c r="J306" s="78" cm="1">
        <f t="array" ref="J306">IF(H306&lt;12.5, H306/2,
IF(H306&lt;29, 6.25,
IF(H306&lt;50, 6.5,
IF(H306&lt;79, 6.75,
VALUE(SUBSTITUTE(
INDEX(RESUMO!$J$2:$J$100, MATCH(1,
(D306&gt;=RESUMO!$H$2:$H$100)*(D306&lt;=RESUMO!$I$2:$I$100)*(H306&gt;=RESUMO!$K$2:$K$100)*(H306&lt;=RESUMO!$L$2:$L$100),
0)), "R$ ", ""))
))))</f>
        <v>21.1</v>
      </c>
      <c r="K306" s="9">
        <v>0</v>
      </c>
      <c r="L306" s="10">
        <f t="shared" si="54"/>
        <v>0.18075555555555561</v>
      </c>
      <c r="M306" s="7"/>
      <c r="N306" s="48"/>
      <c r="O306" s="78" cm="1">
        <f t="array" ref="O306">IF(M306&lt;12.5, 0,
IF(M306&lt;29, 6.25,
IF(M306&lt;50, 6.5,
IF(M306&lt;79, 6.75,
VALUE(SUBSTITUTE(
INDEX(RESUMO!$J$2:$J$100, MATCH(1,
(D306&gt;=RESUMO!$H$2:$H$100)*(D306&lt;=RESUMO!$I$2:$I$100)*(M306&gt;=RESUMO!$K$2:$K$100)*(M306&lt;=RESUMO!$L$2:$L$100),
0)), "R$ ", ""))
))))</f>
        <v>0</v>
      </c>
      <c r="P306" s="9"/>
      <c r="Q306" s="10" t="e">
        <f t="shared" si="55"/>
        <v>#DIV/0!</v>
      </c>
      <c r="R306" s="5">
        <f t="shared" si="56"/>
        <v>119.47240000000001</v>
      </c>
      <c r="S306" s="5">
        <f t="shared" si="57"/>
        <v>29.28240000000001</v>
      </c>
      <c r="T306" s="5">
        <f t="shared" si="58"/>
        <v>-3.6076000000000001</v>
      </c>
      <c r="U306" s="5">
        <f t="shared" si="59"/>
        <v>-93.797600000000003</v>
      </c>
    </row>
    <row r="307" spans="1:21" x14ac:dyDescent="0.25">
      <c r="A307" s="11" t="s">
        <v>44</v>
      </c>
      <c r="B307" s="61" t="s">
        <v>372</v>
      </c>
      <c r="C307" s="9">
        <v>107.48</v>
      </c>
      <c r="D307" s="6">
        <v>3</v>
      </c>
      <c r="E307" s="8">
        <v>0.04</v>
      </c>
      <c r="F307" s="49">
        <v>0</v>
      </c>
      <c r="G307" s="9">
        <v>2</v>
      </c>
      <c r="H307" s="9">
        <v>189</v>
      </c>
      <c r="I307" s="48">
        <v>0.11</v>
      </c>
      <c r="J307" s="78" cm="1">
        <f t="array" ref="J307">IF(H307&lt;12.5, H307/2,
IF(H307&lt;29, 6.25,
IF(H307&lt;50, 6.5,
IF(H307&lt;79, 6.75,
VALUE(SUBSTITUTE(
INDEX(RESUMO!$J$2:$J$100, MATCH(1,
(D307&gt;=RESUMO!$H$2:$H$100)*(D307&lt;=RESUMO!$I$2:$I$100)*(H307&gt;=RESUMO!$K$2:$K$100)*(H307&lt;=RESUMO!$L$2:$L$100),
0)), "R$ ", ""))
))))</f>
        <v>22.45</v>
      </c>
      <c r="K307" s="9">
        <v>0</v>
      </c>
      <c r="L307" s="10">
        <f t="shared" si="54"/>
        <v>0.17979259259259261</v>
      </c>
      <c r="M307" s="7"/>
      <c r="N307" s="48"/>
      <c r="O307" s="78" cm="1">
        <f t="array" ref="O307">IF(M307&lt;12.5, 0,
IF(M307&lt;29, 6.25,
IF(M307&lt;50, 6.5,
IF(M307&lt;79, 6.75,
VALUE(SUBSTITUTE(
INDEX(RESUMO!$J$2:$J$100, MATCH(1,
(D307&gt;=RESUMO!$H$2:$H$100)*(D307&lt;=RESUMO!$I$2:$I$100)*(M307&gt;=RESUMO!$K$2:$K$100)*(M307&lt;=RESUMO!$L$2:$L$100),
0)), "R$ ", ""))
))))</f>
        <v>0</v>
      </c>
      <c r="P307" s="9"/>
      <c r="Q307" s="10" t="e">
        <f t="shared" si="55"/>
        <v>#DIV/0!</v>
      </c>
      <c r="R307" s="5">
        <f t="shared" si="56"/>
        <v>141.46080000000001</v>
      </c>
      <c r="S307" s="5">
        <f t="shared" si="57"/>
        <v>33.980800000000002</v>
      </c>
      <c r="T307" s="5">
        <f t="shared" si="58"/>
        <v>-4.2991999999999999</v>
      </c>
      <c r="U307" s="5">
        <f t="shared" si="59"/>
        <v>-111.7792</v>
      </c>
    </row>
    <row r="308" spans="1:21" x14ac:dyDescent="0.25">
      <c r="A308" s="11" t="s">
        <v>44</v>
      </c>
      <c r="B308" s="61" t="s">
        <v>373</v>
      </c>
      <c r="C308" s="9">
        <v>107.48</v>
      </c>
      <c r="D308" s="6">
        <v>3</v>
      </c>
      <c r="E308" s="8">
        <v>0.04</v>
      </c>
      <c r="F308" s="49">
        <v>0</v>
      </c>
      <c r="G308" s="9">
        <v>2</v>
      </c>
      <c r="H308" s="9">
        <v>189</v>
      </c>
      <c r="I308" s="48">
        <v>0.11</v>
      </c>
      <c r="J308" s="78" cm="1">
        <f t="array" ref="J308">IF(H308&lt;12.5, H308/2,
IF(H308&lt;29, 6.25,
IF(H308&lt;50, 6.5,
IF(H308&lt;79, 6.75,
VALUE(SUBSTITUTE(
INDEX(RESUMO!$J$2:$J$100, MATCH(1,
(D308&gt;=RESUMO!$H$2:$H$100)*(D308&lt;=RESUMO!$I$2:$I$100)*(H308&gt;=RESUMO!$K$2:$K$100)*(H308&lt;=RESUMO!$L$2:$L$100),
0)), "R$ ", ""))
))))</f>
        <v>22.45</v>
      </c>
      <c r="K308" s="9">
        <v>0</v>
      </c>
      <c r="L308" s="10">
        <f t="shared" si="54"/>
        <v>0.17979259259259261</v>
      </c>
      <c r="M308" s="7"/>
      <c r="N308" s="48"/>
      <c r="O308" s="78" cm="1">
        <f t="array" ref="O308">IF(M308&lt;12.5, 0,
IF(M308&lt;29, 6.25,
IF(M308&lt;50, 6.5,
IF(M308&lt;79, 6.75,
VALUE(SUBSTITUTE(
INDEX(RESUMO!$J$2:$J$100, MATCH(1,
(D308&gt;=RESUMO!$H$2:$H$100)*(D308&lt;=RESUMO!$I$2:$I$100)*(M308&gt;=RESUMO!$K$2:$K$100)*(M308&lt;=RESUMO!$L$2:$L$100),
0)), "R$ ", ""))
))))</f>
        <v>0</v>
      </c>
      <c r="P308" s="9"/>
      <c r="Q308" s="10" t="e">
        <f t="shared" si="55"/>
        <v>#DIV/0!</v>
      </c>
      <c r="R308" s="5">
        <f t="shared" si="56"/>
        <v>141.46080000000001</v>
      </c>
      <c r="S308" s="5">
        <f t="shared" si="57"/>
        <v>33.980800000000002</v>
      </c>
      <c r="T308" s="5">
        <f t="shared" si="58"/>
        <v>-4.2991999999999999</v>
      </c>
      <c r="U308" s="5">
        <f t="shared" si="59"/>
        <v>-111.7792</v>
      </c>
    </row>
    <row r="309" spans="1:21" x14ac:dyDescent="0.25">
      <c r="A309" s="11" t="s">
        <v>44</v>
      </c>
      <c r="B309" s="61" t="s">
        <v>374</v>
      </c>
      <c r="C309" s="9">
        <v>97.01</v>
      </c>
      <c r="D309" s="6">
        <v>2</v>
      </c>
      <c r="E309" s="8">
        <v>0.04</v>
      </c>
      <c r="F309" s="49">
        <v>0</v>
      </c>
      <c r="G309" s="9">
        <v>2</v>
      </c>
      <c r="H309" s="9">
        <v>172</v>
      </c>
      <c r="I309" s="48">
        <v>0.11</v>
      </c>
      <c r="J309" s="78" cm="1">
        <f t="array" ref="J309">IF(H309&lt;12.5, H309/2,
IF(H309&lt;29, 6.25,
IF(H309&lt;50, 6.5,
IF(H309&lt;79, 6.75,
VALUE(SUBSTITUTE(
INDEX(RESUMO!$J$2:$J$100, MATCH(1,
(D309&gt;=RESUMO!$H$2:$H$100)*(D309&lt;=RESUMO!$I$2:$I$100)*(H309&gt;=RESUMO!$K$2:$K$100)*(H309&lt;=RESUMO!$L$2:$L$100),
0)), "R$ ", ""))
))))</f>
        <v>21.1</v>
      </c>
      <c r="K309" s="9">
        <v>0</v>
      </c>
      <c r="L309" s="10">
        <f t="shared" si="54"/>
        <v>0.18075348837209287</v>
      </c>
      <c r="M309" s="7"/>
      <c r="N309" s="48"/>
      <c r="O309" s="78" cm="1">
        <f t="array" ref="O309">IF(M309&lt;12.5, 0,
IF(M309&lt;29, 6.25,
IF(M309&lt;50, 6.5,
IF(M309&lt;79, 6.75,
VALUE(SUBSTITUTE(
INDEX(RESUMO!$J$2:$J$100, MATCH(1,
(D309&gt;=RESUMO!$H$2:$H$100)*(D309&lt;=RESUMO!$I$2:$I$100)*(M309&gt;=RESUMO!$K$2:$K$100)*(M309&lt;=RESUMO!$L$2:$L$100),
0)), "R$ ", ""))
))))</f>
        <v>0</v>
      </c>
      <c r="P309" s="9"/>
      <c r="Q309" s="10" t="e">
        <f t="shared" si="55"/>
        <v>#DIV/0!</v>
      </c>
      <c r="R309" s="5">
        <f t="shared" si="56"/>
        <v>128.09959999999998</v>
      </c>
      <c r="S309" s="5">
        <f t="shared" si="57"/>
        <v>31.089599999999976</v>
      </c>
      <c r="T309" s="5">
        <f t="shared" si="58"/>
        <v>-3.8804000000000003</v>
      </c>
      <c r="U309" s="5">
        <f t="shared" si="59"/>
        <v>-100.8904</v>
      </c>
    </row>
    <row r="310" spans="1:21" x14ac:dyDescent="0.25">
      <c r="A310" s="11" t="s">
        <v>44</v>
      </c>
      <c r="B310" s="61" t="s">
        <v>375</v>
      </c>
      <c r="C310" s="9">
        <v>97.01</v>
      </c>
      <c r="D310" s="6">
        <v>2</v>
      </c>
      <c r="E310" s="8">
        <v>0.04</v>
      </c>
      <c r="F310" s="49">
        <v>0</v>
      </c>
      <c r="G310" s="9">
        <v>12</v>
      </c>
      <c r="H310" s="9">
        <v>172</v>
      </c>
      <c r="I310" s="48">
        <v>0.11</v>
      </c>
      <c r="J310" s="78" cm="1">
        <f t="array" ref="J310">IF(H310&lt;12.5, H310/2,
IF(H310&lt;29, 6.25,
IF(H310&lt;50, 6.5,
IF(H310&lt;79, 6.75,
VALUE(SUBSTITUTE(
INDEX(RESUMO!$J$2:$J$100, MATCH(1,
(D310&gt;=RESUMO!$H$2:$H$100)*(D310&lt;=RESUMO!$I$2:$I$100)*(H310&gt;=RESUMO!$K$2:$K$100)*(H310&lt;=RESUMO!$L$2:$L$100),
0)), "R$ ", ""))
))))</f>
        <v>21.1</v>
      </c>
      <c r="K310" s="9">
        <v>0</v>
      </c>
      <c r="L310" s="10">
        <f t="shared" si="54"/>
        <v>0.18075348837209287</v>
      </c>
      <c r="M310" s="7"/>
      <c r="N310" s="48"/>
      <c r="O310" s="78" cm="1">
        <f t="array" ref="O310">IF(M310&lt;12.5, 0,
IF(M310&lt;29, 6.25,
IF(M310&lt;50, 6.5,
IF(M310&lt;79, 6.75,
VALUE(SUBSTITUTE(
INDEX(RESUMO!$J$2:$J$100, MATCH(1,
(D310&gt;=RESUMO!$H$2:$H$100)*(D310&lt;=RESUMO!$I$2:$I$100)*(M310&gt;=RESUMO!$K$2:$K$100)*(M310&lt;=RESUMO!$L$2:$L$100),
0)), "R$ ", ""))
))))</f>
        <v>0</v>
      </c>
      <c r="P310" s="9"/>
      <c r="Q310" s="10" t="e">
        <f t="shared" si="55"/>
        <v>#DIV/0!</v>
      </c>
      <c r="R310" s="5">
        <f t="shared" si="56"/>
        <v>128.09959999999998</v>
      </c>
      <c r="S310" s="5">
        <f t="shared" si="57"/>
        <v>31.089599999999976</v>
      </c>
      <c r="T310" s="5">
        <f t="shared" si="58"/>
        <v>-3.8804000000000003</v>
      </c>
      <c r="U310" s="5">
        <f t="shared" si="59"/>
        <v>-100.8904</v>
      </c>
    </row>
    <row r="311" spans="1:21" x14ac:dyDescent="0.25">
      <c r="A311" s="11" t="s">
        <v>44</v>
      </c>
      <c r="B311" s="61" t="s">
        <v>376</v>
      </c>
      <c r="C311" s="9">
        <v>144.53</v>
      </c>
      <c r="D311" s="6">
        <v>2</v>
      </c>
      <c r="E311" s="8">
        <v>0.04</v>
      </c>
      <c r="F311" s="49">
        <v>0</v>
      </c>
      <c r="G311" s="9">
        <v>2</v>
      </c>
      <c r="H311" s="9">
        <v>245</v>
      </c>
      <c r="I311" s="48">
        <v>0.11</v>
      </c>
      <c r="J311" s="78" cm="1">
        <f t="array" ref="J311">IF(H311&lt;12.5, H311/2,
IF(H311&lt;29, 6.25,
IF(H311&lt;50, 6.5,
IF(H311&lt;79, 6.75,
VALUE(SUBSTITUTE(
INDEX(RESUMO!$J$2:$J$100, MATCH(1,
(D311&gt;=RESUMO!$H$2:$H$100)*(D311&lt;=RESUMO!$I$2:$I$100)*(H311&gt;=RESUMO!$K$2:$K$100)*(H311&lt;=RESUMO!$L$2:$L$100),
0)), "R$ ", ""))
))))</f>
        <v>23.45</v>
      </c>
      <c r="K311" s="9">
        <v>0</v>
      </c>
      <c r="L311" s="10">
        <f t="shared" si="54"/>
        <v>0.18077061224489799</v>
      </c>
      <c r="M311" s="7"/>
      <c r="N311" s="48"/>
      <c r="O311" s="78" cm="1">
        <f t="array" ref="O311">IF(M311&lt;12.5, 0,
IF(M311&lt;29, 6.25,
IF(M311&lt;50, 6.5,
IF(M311&lt;79, 6.75,
VALUE(SUBSTITUTE(
INDEX(RESUMO!$J$2:$J$100, MATCH(1,
(D311&gt;=RESUMO!$H$2:$H$100)*(D311&lt;=RESUMO!$I$2:$I$100)*(M311&gt;=RESUMO!$K$2:$K$100)*(M311&lt;=RESUMO!$L$2:$L$100),
0)), "R$ ", ""))
))))</f>
        <v>0</v>
      </c>
      <c r="P311" s="9"/>
      <c r="Q311" s="10" t="e">
        <f t="shared" si="55"/>
        <v>#DIV/0!</v>
      </c>
      <c r="R311" s="5">
        <f t="shared" si="56"/>
        <v>188.81880000000001</v>
      </c>
      <c r="S311" s="5">
        <f t="shared" si="57"/>
        <v>44.288800000000009</v>
      </c>
      <c r="T311" s="5">
        <f t="shared" si="58"/>
        <v>-5.7812000000000001</v>
      </c>
      <c r="U311" s="5">
        <f t="shared" si="59"/>
        <v>-150.31120000000001</v>
      </c>
    </row>
    <row r="312" spans="1:21" x14ac:dyDescent="0.25">
      <c r="A312" s="11" t="s">
        <v>44</v>
      </c>
      <c r="B312" s="61" t="s">
        <v>377</v>
      </c>
      <c r="C312" s="9">
        <v>144.53</v>
      </c>
      <c r="D312" s="6">
        <v>2</v>
      </c>
      <c r="E312" s="8">
        <v>0.04</v>
      </c>
      <c r="F312" s="49">
        <v>0</v>
      </c>
      <c r="G312" s="9">
        <v>2</v>
      </c>
      <c r="H312" s="9">
        <v>245</v>
      </c>
      <c r="I312" s="48">
        <v>0.11</v>
      </c>
      <c r="J312" s="78" cm="1">
        <f t="array" ref="J312">IF(H312&lt;12.5, H312/2,
IF(H312&lt;29, 6.25,
IF(H312&lt;50, 6.5,
IF(H312&lt;79, 6.75,
VALUE(SUBSTITUTE(
INDEX(RESUMO!$J$2:$J$100, MATCH(1,
(D312&gt;=RESUMO!$H$2:$H$100)*(D312&lt;=RESUMO!$I$2:$I$100)*(H312&gt;=RESUMO!$K$2:$K$100)*(H312&lt;=RESUMO!$L$2:$L$100),
0)), "R$ ", ""))
))))</f>
        <v>23.45</v>
      </c>
      <c r="K312" s="9">
        <v>0</v>
      </c>
      <c r="L312" s="10">
        <f t="shared" si="54"/>
        <v>0.18077061224489799</v>
      </c>
      <c r="M312" s="7"/>
      <c r="N312" s="48"/>
      <c r="O312" s="78" cm="1">
        <f t="array" ref="O312">IF(M312&lt;12.5, 0,
IF(M312&lt;29, 6.25,
IF(M312&lt;50, 6.5,
IF(M312&lt;79, 6.75,
VALUE(SUBSTITUTE(
INDEX(RESUMO!$J$2:$J$100, MATCH(1,
(D312&gt;=RESUMO!$H$2:$H$100)*(D312&lt;=RESUMO!$I$2:$I$100)*(M312&gt;=RESUMO!$K$2:$K$100)*(M312&lt;=RESUMO!$L$2:$L$100),
0)), "R$ ", ""))
))))</f>
        <v>0</v>
      </c>
      <c r="P312" s="9"/>
      <c r="Q312" s="10" t="e">
        <f t="shared" si="55"/>
        <v>#DIV/0!</v>
      </c>
      <c r="R312" s="5">
        <f t="shared" si="56"/>
        <v>188.81880000000001</v>
      </c>
      <c r="S312" s="5">
        <f t="shared" si="57"/>
        <v>44.288800000000009</v>
      </c>
      <c r="T312" s="5">
        <f t="shared" si="58"/>
        <v>-5.7812000000000001</v>
      </c>
      <c r="U312" s="5">
        <f t="shared" si="59"/>
        <v>-150.31120000000001</v>
      </c>
    </row>
    <row r="313" spans="1:21" x14ac:dyDescent="0.25">
      <c r="A313" s="11" t="s">
        <v>44</v>
      </c>
      <c r="B313" s="61" t="s">
        <v>378</v>
      </c>
      <c r="C313" s="9">
        <v>174.43</v>
      </c>
      <c r="D313" s="6">
        <v>3</v>
      </c>
      <c r="E313" s="8">
        <v>0.04</v>
      </c>
      <c r="F313" s="49">
        <v>0</v>
      </c>
      <c r="G313" s="9">
        <v>2</v>
      </c>
      <c r="H313" s="9">
        <v>291</v>
      </c>
      <c r="I313" s="48">
        <v>0.11</v>
      </c>
      <c r="J313" s="78" cm="1">
        <f t="array" ref="J313">IF(H313&lt;12.5, H313/2,
IF(H313&lt;29, 6.25,
IF(H313&lt;50, 6.5,
IF(H313&lt;79, 6.75,
VALUE(SUBSTITUTE(
INDEX(RESUMO!$J$2:$J$100, MATCH(1,
(D313&gt;=RESUMO!$H$2:$H$100)*(D313&lt;=RESUMO!$I$2:$I$100)*(H313&gt;=RESUMO!$K$2:$K$100)*(H313&lt;=RESUMO!$L$2:$L$100),
0)), "R$ ", ""))
))))</f>
        <v>24.95</v>
      </c>
      <c r="K313" s="9">
        <v>0</v>
      </c>
      <c r="L313" s="10">
        <f t="shared" si="54"/>
        <v>0.18086872852233679</v>
      </c>
      <c r="M313" s="7"/>
      <c r="N313" s="48"/>
      <c r="O313" s="78" cm="1">
        <f t="array" ref="O313">IF(M313&lt;12.5, 0,
IF(M313&lt;29, 6.25,
IF(M313&lt;50, 6.5,
IF(M313&lt;79, 6.75,
VALUE(SUBSTITUTE(
INDEX(RESUMO!$J$2:$J$100, MATCH(1,
(D313&gt;=RESUMO!$H$2:$H$100)*(D313&lt;=RESUMO!$I$2:$I$100)*(M313&gt;=RESUMO!$K$2:$K$100)*(M313&lt;=RESUMO!$L$2:$L$100),
0)), "R$ ", ""))
))))</f>
        <v>0</v>
      </c>
      <c r="P313" s="9"/>
      <c r="Q313" s="10" t="e">
        <f t="shared" si="55"/>
        <v>#DIV/0!</v>
      </c>
      <c r="R313" s="5">
        <f t="shared" si="56"/>
        <v>227.06280000000001</v>
      </c>
      <c r="S313" s="5">
        <f t="shared" si="57"/>
        <v>52.632800000000003</v>
      </c>
      <c r="T313" s="5">
        <f t="shared" si="58"/>
        <v>-6.9772000000000007</v>
      </c>
      <c r="U313" s="5">
        <f t="shared" si="59"/>
        <v>-181.40720000000002</v>
      </c>
    </row>
    <row r="314" spans="1:21" x14ac:dyDescent="0.25">
      <c r="A314" s="11" t="s">
        <v>44</v>
      </c>
      <c r="B314" s="61" t="s">
        <v>379</v>
      </c>
      <c r="C314" s="9">
        <v>174.43</v>
      </c>
      <c r="D314" s="6">
        <v>3</v>
      </c>
      <c r="E314" s="8">
        <v>0.04</v>
      </c>
      <c r="F314" s="49">
        <v>0</v>
      </c>
      <c r="G314" s="9">
        <v>2</v>
      </c>
      <c r="H314" s="9">
        <v>291</v>
      </c>
      <c r="I314" s="48">
        <v>0.11</v>
      </c>
      <c r="J314" s="78" cm="1">
        <f t="array" ref="J314">IF(H314&lt;12.5, H314/2,
IF(H314&lt;29, 6.25,
IF(H314&lt;50, 6.5,
IF(H314&lt;79, 6.75,
VALUE(SUBSTITUTE(
INDEX(RESUMO!$J$2:$J$100, MATCH(1,
(D314&gt;=RESUMO!$H$2:$H$100)*(D314&lt;=RESUMO!$I$2:$I$100)*(H314&gt;=RESUMO!$K$2:$K$100)*(H314&lt;=RESUMO!$L$2:$L$100),
0)), "R$ ", ""))
))))</f>
        <v>24.95</v>
      </c>
      <c r="K314" s="9">
        <v>0</v>
      </c>
      <c r="L314" s="10">
        <f t="shared" si="54"/>
        <v>0.18086872852233679</v>
      </c>
      <c r="M314" s="7"/>
      <c r="N314" s="48"/>
      <c r="O314" s="78" cm="1">
        <f t="array" ref="O314">IF(M314&lt;12.5, 0,
IF(M314&lt;29, 6.25,
IF(M314&lt;50, 6.5,
IF(M314&lt;79, 6.75,
VALUE(SUBSTITUTE(
INDEX(RESUMO!$J$2:$J$100, MATCH(1,
(D314&gt;=RESUMO!$H$2:$H$100)*(D314&lt;=RESUMO!$I$2:$I$100)*(M314&gt;=RESUMO!$K$2:$K$100)*(M314&lt;=RESUMO!$L$2:$L$100),
0)), "R$ ", ""))
))))</f>
        <v>0</v>
      </c>
      <c r="P314" s="9"/>
      <c r="Q314" s="10" t="e">
        <f t="shared" si="55"/>
        <v>#DIV/0!</v>
      </c>
      <c r="R314" s="5">
        <f t="shared" si="56"/>
        <v>227.06280000000001</v>
      </c>
      <c r="S314" s="5">
        <f t="shared" si="57"/>
        <v>52.632800000000003</v>
      </c>
      <c r="T314" s="5">
        <f t="shared" si="58"/>
        <v>-6.9772000000000007</v>
      </c>
      <c r="U314" s="5">
        <f t="shared" si="59"/>
        <v>-181.40720000000002</v>
      </c>
    </row>
    <row r="315" spans="1:21" x14ac:dyDescent="0.25">
      <c r="A315" s="11" t="s">
        <v>44</v>
      </c>
      <c r="B315" s="61" t="s">
        <v>380</v>
      </c>
      <c r="C315" s="9">
        <v>130.51</v>
      </c>
      <c r="D315" s="6">
        <v>2</v>
      </c>
      <c r="E315" s="8">
        <v>0.04</v>
      </c>
      <c r="F315" s="49">
        <v>0</v>
      </c>
      <c r="G315" s="9">
        <v>2</v>
      </c>
      <c r="H315" s="9">
        <v>225</v>
      </c>
      <c r="I315" s="48">
        <v>0.11</v>
      </c>
      <c r="J315" s="78" cm="1">
        <f t="array" ref="J315">IF(H315&lt;12.5, H315/2,
IF(H315&lt;29, 6.25,
IF(H315&lt;50, 6.5,
IF(H315&lt;79, 6.75,
VALUE(SUBSTITUTE(
INDEX(RESUMO!$J$2:$J$100, MATCH(1,
(D315&gt;=RESUMO!$H$2:$H$100)*(D315&lt;=RESUMO!$I$2:$I$100)*(H315&gt;=RESUMO!$K$2:$K$100)*(H315&lt;=RESUMO!$L$2:$L$100),
0)), "R$ ", ""))
))))</f>
        <v>23.45</v>
      </c>
      <c r="K315" s="9">
        <v>0</v>
      </c>
      <c r="L315" s="10">
        <f t="shared" si="54"/>
        <v>0.18253155555555559</v>
      </c>
      <c r="M315" s="7"/>
      <c r="N315" s="48"/>
      <c r="O315" s="78" cm="1">
        <f t="array" ref="O315">IF(M315&lt;12.5, 0,
IF(M315&lt;29, 6.25,
IF(M315&lt;50, 6.5,
IF(M315&lt;79, 6.75,
VALUE(SUBSTITUTE(
INDEX(RESUMO!$J$2:$J$100, MATCH(1,
(D315&gt;=RESUMO!$H$2:$H$100)*(D315&lt;=RESUMO!$I$2:$I$100)*(M315&gt;=RESUMO!$K$2:$K$100)*(M315&lt;=RESUMO!$L$2:$L$100),
0)), "R$ ", ""))
))))</f>
        <v>0</v>
      </c>
      <c r="P315" s="9"/>
      <c r="Q315" s="10" t="e">
        <f t="shared" si="55"/>
        <v>#DIV/0!</v>
      </c>
      <c r="R315" s="5">
        <f t="shared" si="56"/>
        <v>171.5796</v>
      </c>
      <c r="S315" s="5">
        <f t="shared" si="57"/>
        <v>41.069600000000008</v>
      </c>
      <c r="T315" s="5">
        <f t="shared" si="58"/>
        <v>-5.2203999999999997</v>
      </c>
      <c r="U315" s="5">
        <f t="shared" si="59"/>
        <v>-135.7304</v>
      </c>
    </row>
    <row r="316" spans="1:21" x14ac:dyDescent="0.25">
      <c r="A316" s="11" t="s">
        <v>44</v>
      </c>
      <c r="B316" s="61" t="s">
        <v>381</v>
      </c>
      <c r="C316" s="9">
        <v>490.66</v>
      </c>
      <c r="D316" s="6">
        <v>4</v>
      </c>
      <c r="E316" s="8">
        <v>0.04</v>
      </c>
      <c r="F316" s="49">
        <v>0</v>
      </c>
      <c r="G316" s="9">
        <v>2</v>
      </c>
      <c r="H316" s="9">
        <v>759</v>
      </c>
      <c r="I316" s="48">
        <v>0.11</v>
      </c>
      <c r="J316" s="78" cm="1">
        <f t="array" ref="J316">IF(H316&lt;12.5, H316/2,
IF(H316&lt;29, 6.25,
IF(H316&lt;50, 6.5,
IF(H316&lt;79, 6.75,
VALUE(SUBSTITUTE(
INDEX(RESUMO!$J$2:$J$100, MATCH(1,
(D316&gt;=RESUMO!$H$2:$H$100)*(D316&lt;=RESUMO!$I$2:$I$100)*(H316&gt;=RESUMO!$K$2:$K$100)*(H316&lt;=RESUMO!$L$2:$L$100),
0)), "R$ ", ""))
))))</f>
        <v>26.95</v>
      </c>
      <c r="K316" s="9">
        <v>0</v>
      </c>
      <c r="L316" s="10">
        <f t="shared" si="54"/>
        <v>0.18217865612648212</v>
      </c>
      <c r="M316" s="7"/>
      <c r="N316" s="48"/>
      <c r="O316" s="78" cm="1">
        <f t="array" ref="O316">IF(M316&lt;12.5, 0,
IF(M316&lt;29, 6.25,
IF(M316&lt;50, 6.5,
IF(M316&lt;79, 6.75,
VALUE(SUBSTITUTE(
INDEX(RESUMO!$J$2:$J$100, MATCH(1,
(D316&gt;=RESUMO!$H$2:$H$100)*(D316&lt;=RESUMO!$I$2:$I$100)*(M316&gt;=RESUMO!$K$2:$K$100)*(M316&lt;=RESUMO!$L$2:$L$100),
0)), "R$ ", ""))
))))</f>
        <v>0</v>
      </c>
      <c r="P316" s="9"/>
      <c r="Q316" s="10" t="e">
        <f t="shared" si="55"/>
        <v>#DIV/0!</v>
      </c>
      <c r="R316" s="5">
        <f t="shared" si="56"/>
        <v>628.93359999999996</v>
      </c>
      <c r="S316" s="5">
        <f t="shared" si="57"/>
        <v>138.27359999999993</v>
      </c>
      <c r="T316" s="5">
        <f t="shared" si="58"/>
        <v>-19.6264</v>
      </c>
      <c r="U316" s="5">
        <f t="shared" si="59"/>
        <v>-510.28640000000001</v>
      </c>
    </row>
    <row r="317" spans="1:21" x14ac:dyDescent="0.25">
      <c r="A317" s="11" t="s">
        <v>44</v>
      </c>
      <c r="B317" s="61" t="s">
        <v>382</v>
      </c>
      <c r="C317" s="9">
        <v>240.88</v>
      </c>
      <c r="D317" s="6">
        <v>1</v>
      </c>
      <c r="E317" s="8">
        <v>0.04</v>
      </c>
      <c r="F317" s="49">
        <v>0</v>
      </c>
      <c r="G317" s="9">
        <v>2</v>
      </c>
      <c r="H317" s="9">
        <v>385</v>
      </c>
      <c r="I317" s="48">
        <v>0.11</v>
      </c>
      <c r="J317" s="78" cm="1">
        <f t="array" ref="J317">IF(H317&lt;12.5, H317/2,
IF(H317&lt;29, 6.25,
IF(H317&lt;50, 6.5,
IF(H317&lt;79, 6.75,
VALUE(SUBSTITUTE(
INDEX(RESUMO!$J$2:$J$100, MATCH(1,
(D317&gt;=RESUMO!$H$2:$H$100)*(D317&lt;=RESUMO!$I$2:$I$100)*(H317&gt;=RESUMO!$K$2:$K$100)*(H317&lt;=RESUMO!$L$2:$L$100),
0)), "R$ ", ""))
))))</f>
        <v>22.45</v>
      </c>
      <c r="K317" s="9">
        <v>0</v>
      </c>
      <c r="L317" s="10">
        <f t="shared" si="54"/>
        <v>0.1809994805194805</v>
      </c>
      <c r="M317" s="7"/>
      <c r="N317" s="48"/>
      <c r="O317" s="78" cm="1">
        <f t="array" ref="O317">IF(M317&lt;12.5, 0,
IF(M317&lt;29, 6.25,
IF(M317&lt;50, 6.5,
IF(M317&lt;79, 6.75,
VALUE(SUBSTITUTE(
INDEX(RESUMO!$J$2:$J$100, MATCH(1,
(D317&gt;=RESUMO!$H$2:$H$100)*(D317&lt;=RESUMO!$I$2:$I$100)*(M317&gt;=RESUMO!$K$2:$K$100)*(M317&lt;=RESUMO!$L$2:$L$100),
0)), "R$ ", ""))
))))</f>
        <v>0</v>
      </c>
      <c r="P317" s="9"/>
      <c r="Q317" s="10" t="e">
        <f t="shared" si="55"/>
        <v>#DIV/0!</v>
      </c>
      <c r="R317" s="5">
        <f t="shared" si="56"/>
        <v>310.56479999999999</v>
      </c>
      <c r="S317" s="5">
        <f t="shared" si="57"/>
        <v>69.684799999999996</v>
      </c>
      <c r="T317" s="5">
        <f t="shared" si="58"/>
        <v>-9.6351999999999993</v>
      </c>
      <c r="U317" s="5">
        <f t="shared" si="59"/>
        <v>-250.51519999999999</v>
      </c>
    </row>
    <row r="318" spans="1:21" x14ac:dyDescent="0.25">
      <c r="A318" s="11" t="s">
        <v>44</v>
      </c>
      <c r="B318" s="61" t="s">
        <v>383</v>
      </c>
      <c r="C318" s="9">
        <v>178.1</v>
      </c>
      <c r="D318" s="6">
        <v>1</v>
      </c>
      <c r="E318" s="8">
        <v>0.04</v>
      </c>
      <c r="F318" s="49">
        <v>0</v>
      </c>
      <c r="G318" s="9">
        <v>2</v>
      </c>
      <c r="H318" s="9">
        <v>293</v>
      </c>
      <c r="I318" s="48">
        <v>0.11</v>
      </c>
      <c r="J318" s="78" cm="1">
        <f t="array" ref="J318">IF(H318&lt;12.5, H318/2,
IF(H318&lt;29, 6.25,
IF(H318&lt;50, 6.5,
IF(H318&lt;79, 6.75,
VALUE(SUBSTITUTE(
INDEX(RESUMO!$J$2:$J$100, MATCH(1,
(D318&gt;=RESUMO!$H$2:$H$100)*(D318&lt;=RESUMO!$I$2:$I$100)*(H318&gt;=RESUMO!$K$2:$K$100)*(H318&lt;=RESUMO!$L$2:$L$100),
0)), "R$ ", ""))
))))</f>
        <v>22.45</v>
      </c>
      <c r="K318" s="9">
        <v>0</v>
      </c>
      <c r="L318" s="10">
        <f t="shared" si="54"/>
        <v>0.18121501706484644</v>
      </c>
      <c r="M318" s="7"/>
      <c r="N318" s="48"/>
      <c r="O318" s="78" cm="1">
        <f t="array" ref="O318">IF(M318&lt;12.5, 0,
IF(M318&lt;29, 6.25,
IF(M318&lt;50, 6.5,
IF(M318&lt;79, 6.75,
VALUE(SUBSTITUTE(
INDEX(RESUMO!$J$2:$J$100, MATCH(1,
(D318&gt;=RESUMO!$H$2:$H$100)*(D318&lt;=RESUMO!$I$2:$I$100)*(M318&gt;=RESUMO!$K$2:$K$100)*(M318&lt;=RESUMO!$L$2:$L$100),
0)), "R$ ", ""))
))))</f>
        <v>0</v>
      </c>
      <c r="P318" s="9"/>
      <c r="Q318" s="10" t="e">
        <f t="shared" si="55"/>
        <v>#DIV/0!</v>
      </c>
      <c r="R318" s="5">
        <f t="shared" si="56"/>
        <v>231.196</v>
      </c>
      <c r="S318" s="5">
        <f t="shared" si="57"/>
        <v>53.096000000000004</v>
      </c>
      <c r="T318" s="5">
        <f t="shared" si="58"/>
        <v>-7.1239999999999997</v>
      </c>
      <c r="U318" s="5">
        <f t="shared" si="59"/>
        <v>-185.22399999999999</v>
      </c>
    </row>
    <row r="319" spans="1:21" x14ac:dyDescent="0.25">
      <c r="A319" s="11" t="s">
        <v>44</v>
      </c>
      <c r="B319" s="6" t="s">
        <v>384</v>
      </c>
      <c r="C319" s="9">
        <v>349.55</v>
      </c>
      <c r="D319" s="6">
        <v>9</v>
      </c>
      <c r="E319" s="8">
        <v>0.04</v>
      </c>
      <c r="F319" s="49">
        <v>0</v>
      </c>
      <c r="G319" s="9">
        <v>2</v>
      </c>
      <c r="H319" s="9">
        <v>585</v>
      </c>
      <c r="I319" s="48">
        <v>0.12</v>
      </c>
      <c r="J319" s="78" cm="1">
        <f t="array" ref="J319">IF(H319&lt;12.5, H319/2,
IF(H319&lt;29, 6.25,
IF(H319&lt;50, 6.5,
IF(H319&lt;79, 6.75,
VALUE(SUBSTITUTE(
INDEX(RESUMO!$J$2:$J$100, MATCH(1,
(D319&gt;=RESUMO!$H$2:$H$100)*(D319&lt;=RESUMO!$I$2:$I$100)*(H319&gt;=RESUMO!$K$2:$K$100)*(H319&lt;=RESUMO!$L$2:$L$100),
0)), "R$ ", ""))
))))</f>
        <v>44.45</v>
      </c>
      <c r="K319" s="9">
        <v>0</v>
      </c>
      <c r="L319" s="10">
        <f t="shared" si="54"/>
        <v>0.18259487179487166</v>
      </c>
      <c r="M319" s="7"/>
      <c r="N319" s="48"/>
      <c r="O319" s="78" cm="1">
        <f t="array" ref="O319">IF(M319&lt;12.5, 0,
IF(M319&lt;29, 6.25,
IF(M319&lt;50, 6.5,
IF(M319&lt;79, 6.75,
VALUE(SUBSTITUTE(
INDEX(RESUMO!$J$2:$J$100, MATCH(1,
(D319&gt;=RESUMO!$H$2:$H$100)*(D319&lt;=RESUMO!$I$2:$I$100)*(M319&gt;=RESUMO!$K$2:$K$100)*(M319&lt;=RESUMO!$L$2:$L$100),
0)), "R$ ", ""))
))))</f>
        <v>0</v>
      </c>
      <c r="P319" s="9"/>
      <c r="Q319" s="10" t="e">
        <f t="shared" si="55"/>
        <v>#DIV/0!</v>
      </c>
      <c r="R319" s="5">
        <f t="shared" si="56"/>
        <v>456.36799999999994</v>
      </c>
      <c r="S319" s="5">
        <f t="shared" si="57"/>
        <v>106.81799999999993</v>
      </c>
      <c r="T319" s="5">
        <f t="shared" si="58"/>
        <v>-13.982000000000001</v>
      </c>
      <c r="U319" s="5">
        <f t="shared" si="59"/>
        <v>-363.53200000000004</v>
      </c>
    </row>
    <row r="320" spans="1:21" x14ac:dyDescent="0.25">
      <c r="A320" s="11" t="s">
        <v>44</v>
      </c>
      <c r="B320" s="6" t="s">
        <v>385</v>
      </c>
      <c r="C320" s="9">
        <v>365.97</v>
      </c>
      <c r="D320" s="6">
        <v>9</v>
      </c>
      <c r="E320" s="8">
        <v>0.04</v>
      </c>
      <c r="F320" s="49">
        <v>0</v>
      </c>
      <c r="G320" s="9">
        <v>2</v>
      </c>
      <c r="H320" s="9">
        <v>609</v>
      </c>
      <c r="I320" s="48">
        <v>0.12</v>
      </c>
      <c r="J320" s="78" cm="1">
        <f t="array" ref="J320">IF(H320&lt;12.5, H320/2,
IF(H320&lt;29, 6.25,
IF(H320&lt;50, 6.5,
IF(H320&lt;79, 6.75,
VALUE(SUBSTITUTE(
INDEX(RESUMO!$J$2:$J$100, MATCH(1,
(D320&gt;=RESUMO!$H$2:$H$100)*(D320&lt;=RESUMO!$I$2:$I$100)*(H320&gt;=RESUMO!$K$2:$K$100)*(H320&lt;=RESUMO!$L$2:$L$100),
0)), "R$ ", ""))
))))</f>
        <v>44.45</v>
      </c>
      <c r="K320" s="9">
        <v>0</v>
      </c>
      <c r="L320" s="10">
        <f t="shared" si="54"/>
        <v>0.18203809523809514</v>
      </c>
      <c r="M320" s="7"/>
      <c r="N320" s="48"/>
      <c r="O320" s="78" cm="1">
        <f t="array" ref="O320">IF(M320&lt;12.5, 0,
IF(M320&lt;29, 6.25,
IF(M320&lt;50, 6.5,
IF(M320&lt;79, 6.75,
VALUE(SUBSTITUTE(
INDEX(RESUMO!$J$2:$J$100, MATCH(1,
(D320&gt;=RESUMO!$H$2:$H$100)*(D320&lt;=RESUMO!$I$2:$I$100)*(M320&gt;=RESUMO!$K$2:$K$100)*(M320&lt;=RESUMO!$L$2:$L$100),
0)), "R$ ", ""))
))))</f>
        <v>0</v>
      </c>
      <c r="P320" s="9"/>
      <c r="Q320" s="10" t="e">
        <f t="shared" si="55"/>
        <v>#DIV/0!</v>
      </c>
      <c r="R320" s="5">
        <f t="shared" si="56"/>
        <v>476.83119999999997</v>
      </c>
      <c r="S320" s="5">
        <f t="shared" si="57"/>
        <v>110.86119999999994</v>
      </c>
      <c r="T320" s="5">
        <f t="shared" si="58"/>
        <v>-14.638800000000002</v>
      </c>
      <c r="U320" s="5">
        <f t="shared" si="59"/>
        <v>-380.60880000000003</v>
      </c>
    </row>
    <row r="321" spans="1:21" x14ac:dyDescent="0.25">
      <c r="A321" s="11" t="s">
        <v>44</v>
      </c>
      <c r="B321" s="6" t="s">
        <v>386</v>
      </c>
      <c r="C321" s="9">
        <v>365.97</v>
      </c>
      <c r="D321" s="6">
        <v>9</v>
      </c>
      <c r="E321" s="8">
        <v>0.04</v>
      </c>
      <c r="F321" s="49">
        <v>0</v>
      </c>
      <c r="G321" s="9">
        <v>12</v>
      </c>
      <c r="H321" s="9">
        <v>609</v>
      </c>
      <c r="I321" s="48">
        <v>0.12</v>
      </c>
      <c r="J321" s="78" cm="1">
        <f t="array" ref="J321">IF(H321&lt;12.5, H321/2,
IF(H321&lt;29, 6.25,
IF(H321&lt;50, 6.5,
IF(H321&lt;79, 6.75,
VALUE(SUBSTITUTE(
INDEX(RESUMO!$J$2:$J$100, MATCH(1,
(D321&gt;=RESUMO!$H$2:$H$100)*(D321&lt;=RESUMO!$I$2:$I$100)*(H321&gt;=RESUMO!$K$2:$K$100)*(H321&lt;=RESUMO!$L$2:$L$100),
0)), "R$ ", ""))
))))</f>
        <v>44.45</v>
      </c>
      <c r="K321" s="9">
        <v>0</v>
      </c>
      <c r="L321" s="10">
        <f t="shared" si="54"/>
        <v>0.18203809523809514</v>
      </c>
      <c r="M321" s="7"/>
      <c r="N321" s="48"/>
      <c r="O321" s="78" cm="1">
        <f t="array" ref="O321">IF(M321&lt;12.5, 0,
IF(M321&lt;29, 6.25,
IF(M321&lt;50, 6.5,
IF(M321&lt;79, 6.75,
VALUE(SUBSTITUTE(
INDEX(RESUMO!$J$2:$J$100, MATCH(1,
(D321&gt;=RESUMO!$H$2:$H$100)*(D321&lt;=RESUMO!$I$2:$I$100)*(M321&gt;=RESUMO!$K$2:$K$100)*(M321&lt;=RESUMO!$L$2:$L$100),
0)), "R$ ", ""))
))))</f>
        <v>0</v>
      </c>
      <c r="P321" s="9"/>
      <c r="Q321" s="10" t="e">
        <f t="shared" si="55"/>
        <v>#DIV/0!</v>
      </c>
      <c r="R321" s="5">
        <f t="shared" si="56"/>
        <v>476.83119999999997</v>
      </c>
      <c r="S321" s="5">
        <f t="shared" si="57"/>
        <v>110.86119999999994</v>
      </c>
      <c r="T321" s="5">
        <f t="shared" si="58"/>
        <v>-14.638800000000002</v>
      </c>
      <c r="U321" s="5">
        <f t="shared" si="59"/>
        <v>-380.60880000000003</v>
      </c>
    </row>
    <row r="322" spans="1:21" x14ac:dyDescent="0.25">
      <c r="A322" s="11" t="s">
        <v>44</v>
      </c>
      <c r="B322" s="6" t="s">
        <v>387</v>
      </c>
      <c r="C322" s="9">
        <v>479.87</v>
      </c>
      <c r="D322" s="6">
        <v>9</v>
      </c>
      <c r="E322" s="8">
        <v>0.04</v>
      </c>
      <c r="F322" s="49">
        <v>0</v>
      </c>
      <c r="G322" s="9">
        <v>12</v>
      </c>
      <c r="H322" s="9">
        <v>779</v>
      </c>
      <c r="I322" s="48">
        <v>0.12</v>
      </c>
      <c r="J322" s="78" cm="1">
        <f t="array" ref="J322">IF(H322&lt;12.5, H322/2,
IF(H322&lt;29, 6.25,
IF(H322&lt;50, 6.5,
IF(H322&lt;79, 6.75,
VALUE(SUBSTITUTE(
INDEX(RESUMO!$J$2:$J$100, MATCH(1,
(D322&gt;=RESUMO!$H$2:$H$100)*(D322&lt;=RESUMO!$I$2:$I$100)*(H322&gt;=RESUMO!$K$2:$K$100)*(H322&lt;=RESUMO!$L$2:$L$100),
0)), "R$ ", ""))
))))</f>
        <v>44.45</v>
      </c>
      <c r="K322" s="9">
        <v>0</v>
      </c>
      <c r="L322" s="10">
        <f t="shared" si="54"/>
        <v>0.1822916559691912</v>
      </c>
      <c r="M322" s="7"/>
      <c r="N322" s="48"/>
      <c r="O322" s="78" cm="1">
        <f t="array" ref="O322">IF(M322&lt;12.5, 0,
IF(M322&lt;29, 6.25,
IF(M322&lt;50, 6.5,
IF(M322&lt;79, 6.75,
VALUE(SUBSTITUTE(
INDEX(RESUMO!$J$2:$J$100, MATCH(1,
(D322&gt;=RESUMO!$H$2:$H$100)*(D322&lt;=RESUMO!$I$2:$I$100)*(M322&gt;=RESUMO!$K$2:$K$100)*(M322&lt;=RESUMO!$L$2:$L$100),
0)), "R$ ", ""))
))))</f>
        <v>0</v>
      </c>
      <c r="P322" s="9"/>
      <c r="Q322" s="10" t="e">
        <f t="shared" si="55"/>
        <v>#DIV/0!</v>
      </c>
      <c r="R322" s="5">
        <f t="shared" si="56"/>
        <v>621.87519999999995</v>
      </c>
      <c r="S322" s="5">
        <f t="shared" si="57"/>
        <v>142.00519999999995</v>
      </c>
      <c r="T322" s="5">
        <f t="shared" si="58"/>
        <v>-19.194800000000001</v>
      </c>
      <c r="U322" s="5">
        <f t="shared" si="59"/>
        <v>-499.06479999999999</v>
      </c>
    </row>
    <row r="323" spans="1:21" x14ac:dyDescent="0.25">
      <c r="A323" s="11" t="s">
        <v>44</v>
      </c>
      <c r="B323" s="6" t="s">
        <v>388</v>
      </c>
      <c r="C323" s="9">
        <v>540.21</v>
      </c>
      <c r="D323" s="6">
        <v>9</v>
      </c>
      <c r="E323" s="8">
        <v>0.04</v>
      </c>
      <c r="F323" s="49">
        <v>0</v>
      </c>
      <c r="G323" s="9">
        <v>21</v>
      </c>
      <c r="H323" s="9">
        <v>869</v>
      </c>
      <c r="I323" s="48">
        <v>0.12</v>
      </c>
      <c r="J323" s="78" cm="1">
        <f t="array" ref="J323">IF(H323&lt;12.5, H323/2,
IF(H323&lt;29, 6.25,
IF(H323&lt;50, 6.5,
IF(H323&lt;79, 6.75,
VALUE(SUBSTITUTE(
INDEX(RESUMO!$J$2:$J$100, MATCH(1,
(D323&gt;=RESUMO!$H$2:$H$100)*(D323&lt;=RESUMO!$I$2:$I$100)*(H323&gt;=RESUMO!$K$2:$K$100)*(H323&lt;=RESUMO!$L$2:$L$100),
0)), "R$ ", ""))
))))</f>
        <v>44.45</v>
      </c>
      <c r="K323" s="9">
        <v>0</v>
      </c>
      <c r="L323" s="10">
        <f t="shared" si="54"/>
        <v>0.18233785960874566</v>
      </c>
      <c r="M323" s="7"/>
      <c r="N323" s="48"/>
      <c r="O323" s="78" cm="1">
        <f t="array" ref="O323">IF(M323&lt;12.5, 0,
IF(M323&lt;29, 6.25,
IF(M323&lt;50, 6.5,
IF(M323&lt;79, 6.75,
VALUE(SUBSTITUTE(
INDEX(RESUMO!$J$2:$J$100, MATCH(1,
(D323&gt;=RESUMO!$H$2:$H$100)*(D323&lt;=RESUMO!$I$2:$I$100)*(M323&gt;=RESUMO!$K$2:$K$100)*(M323&lt;=RESUMO!$L$2:$L$100),
0)), "R$ ", ""))
))))</f>
        <v>0</v>
      </c>
      <c r="P323" s="9"/>
      <c r="Q323" s="10" t="e">
        <f t="shared" si="55"/>
        <v>#DIV/0!</v>
      </c>
      <c r="R323" s="5">
        <f t="shared" si="56"/>
        <v>698.66160000000002</v>
      </c>
      <c r="S323" s="5">
        <f t="shared" si="57"/>
        <v>158.45159999999998</v>
      </c>
      <c r="T323" s="5">
        <f t="shared" si="58"/>
        <v>-21.608400000000003</v>
      </c>
      <c r="U323" s="5">
        <f t="shared" si="59"/>
        <v>-561.8184</v>
      </c>
    </row>
    <row r="324" spans="1:21" x14ac:dyDescent="0.25">
      <c r="A324" s="11" t="s">
        <v>44</v>
      </c>
      <c r="B324" s="6" t="s">
        <v>389</v>
      </c>
      <c r="C324" s="9">
        <v>540.21</v>
      </c>
      <c r="D324" s="6">
        <v>9</v>
      </c>
      <c r="E324" s="8">
        <v>0.04</v>
      </c>
      <c r="F324" s="49">
        <v>0</v>
      </c>
      <c r="G324" s="9">
        <v>21</v>
      </c>
      <c r="H324" s="9">
        <v>869</v>
      </c>
      <c r="I324" s="48">
        <v>0.12</v>
      </c>
      <c r="J324" s="78" cm="1">
        <f t="array" ref="J324">IF(H324&lt;12.5, H324/2,
IF(H324&lt;29, 6.25,
IF(H324&lt;50, 6.5,
IF(H324&lt;79, 6.75,
VALUE(SUBSTITUTE(
INDEX(RESUMO!$J$2:$J$100, MATCH(1,
(D324&gt;=RESUMO!$H$2:$H$100)*(D324&lt;=RESUMO!$I$2:$I$100)*(H324&gt;=RESUMO!$K$2:$K$100)*(H324&lt;=RESUMO!$L$2:$L$100),
0)), "R$ ", ""))
))))</f>
        <v>44.45</v>
      </c>
      <c r="K324" s="9">
        <v>0</v>
      </c>
      <c r="L324" s="10">
        <f t="shared" si="54"/>
        <v>0.18233785960874566</v>
      </c>
      <c r="M324" s="7"/>
      <c r="N324" s="48"/>
      <c r="O324" s="78" cm="1">
        <f t="array" ref="O324">IF(M324&lt;12.5, 0,
IF(M324&lt;29, 6.25,
IF(M324&lt;50, 6.5,
IF(M324&lt;79, 6.75,
VALUE(SUBSTITUTE(
INDEX(RESUMO!$J$2:$J$100, MATCH(1,
(D324&gt;=RESUMO!$H$2:$H$100)*(D324&lt;=RESUMO!$I$2:$I$100)*(M324&gt;=RESUMO!$K$2:$K$100)*(M324&lt;=RESUMO!$L$2:$L$100),
0)), "R$ ", ""))
))))</f>
        <v>0</v>
      </c>
      <c r="P324" s="9"/>
      <c r="Q324" s="10" t="e">
        <f t="shared" si="55"/>
        <v>#DIV/0!</v>
      </c>
      <c r="R324" s="5">
        <f t="shared" si="56"/>
        <v>698.66160000000002</v>
      </c>
      <c r="S324" s="5">
        <f t="shared" si="57"/>
        <v>158.45159999999998</v>
      </c>
      <c r="T324" s="5">
        <f t="shared" si="58"/>
        <v>-21.608400000000003</v>
      </c>
      <c r="U324" s="5">
        <f t="shared" si="59"/>
        <v>-561.8184</v>
      </c>
    </row>
    <row r="325" spans="1:21" x14ac:dyDescent="0.25">
      <c r="A325" s="11" t="s">
        <v>44</v>
      </c>
      <c r="B325" s="61" t="s">
        <v>390</v>
      </c>
      <c r="C325" s="9">
        <v>130.59</v>
      </c>
      <c r="D325" s="6">
        <v>2</v>
      </c>
      <c r="E325" s="8">
        <v>0.04</v>
      </c>
      <c r="F325" s="49">
        <v>0</v>
      </c>
      <c r="G325" s="9">
        <v>2</v>
      </c>
      <c r="H325" s="9">
        <v>225</v>
      </c>
      <c r="I325" s="48">
        <v>0.11</v>
      </c>
      <c r="J325" s="78" cm="1">
        <f t="array" ref="J325">IF(H325&lt;12.5, H325/2,
IF(H325&lt;29, 6.25,
IF(H325&lt;50, 6.5,
IF(H325&lt;79, 6.75,
VALUE(SUBSTITUTE(
INDEX(RESUMO!$J$2:$J$100, MATCH(1,
(D325&gt;=RESUMO!$H$2:$H$100)*(D325&lt;=RESUMO!$I$2:$I$100)*(H325&gt;=RESUMO!$K$2:$K$100)*(H325&lt;=RESUMO!$L$2:$L$100),
0)), "R$ ", ""))
))))</f>
        <v>23.45</v>
      </c>
      <c r="K325" s="9">
        <v>0</v>
      </c>
      <c r="L325" s="10">
        <f t="shared" si="54"/>
        <v>0.18216177777777778</v>
      </c>
      <c r="M325" s="7"/>
      <c r="N325" s="48"/>
      <c r="O325" s="78" cm="1">
        <f t="array" ref="O325">IF(M325&lt;12.5, 0,
IF(M325&lt;29, 6.25,
IF(M325&lt;50, 6.5,
IF(M325&lt;79, 6.75,
VALUE(SUBSTITUTE(
INDEX(RESUMO!$J$2:$J$100, MATCH(1,
(D325&gt;=RESUMO!$H$2:$H$100)*(D325&lt;=RESUMO!$I$2:$I$100)*(M325&gt;=RESUMO!$K$2:$K$100)*(M325&lt;=RESUMO!$L$2:$L$100),
0)), "R$ ", ""))
))))</f>
        <v>0</v>
      </c>
      <c r="P325" s="9"/>
      <c r="Q325" s="10" t="e">
        <f t="shared" si="55"/>
        <v>#DIV/0!</v>
      </c>
      <c r="R325" s="5">
        <f t="shared" si="56"/>
        <v>171.57640000000001</v>
      </c>
      <c r="S325" s="5">
        <f t="shared" si="57"/>
        <v>40.986400000000003</v>
      </c>
      <c r="T325" s="5">
        <f t="shared" si="58"/>
        <v>-5.2236000000000002</v>
      </c>
      <c r="U325" s="5">
        <f t="shared" si="59"/>
        <v>-135.81360000000001</v>
      </c>
    </row>
    <row r="326" spans="1:21" x14ac:dyDescent="0.25">
      <c r="A326" s="11" t="s">
        <v>44</v>
      </c>
      <c r="B326" s="61" t="s">
        <v>391</v>
      </c>
      <c r="C326" s="9">
        <v>93.88</v>
      </c>
      <c r="D326" s="6">
        <v>2</v>
      </c>
      <c r="E326" s="8">
        <v>0.04</v>
      </c>
      <c r="F326" s="49">
        <v>0</v>
      </c>
      <c r="G326" s="9">
        <v>12</v>
      </c>
      <c r="H326" s="9">
        <v>167.9</v>
      </c>
      <c r="I326" s="48">
        <v>0.11</v>
      </c>
      <c r="J326" s="78" cm="1">
        <f t="array" ref="J326">IF(H326&lt;12.5, H326/2,
IF(H326&lt;29, 6.25,
IF(H326&lt;50, 6.5,
IF(H326&lt;79, 6.75,
VALUE(SUBSTITUTE(
INDEX(RESUMO!$J$2:$J$100, MATCH(1,
(D326&gt;=RESUMO!$H$2:$H$100)*(D326&lt;=RESUMO!$I$2:$I$100)*(H326&gt;=RESUMO!$K$2:$K$100)*(H326&lt;=RESUMO!$L$2:$L$100),
0)), "R$ ", ""))
))))</f>
        <v>21.1</v>
      </c>
      <c r="K326" s="9">
        <v>0</v>
      </c>
      <c r="L326" s="10">
        <f t="shared" si="54"/>
        <v>0.1828219178082193</v>
      </c>
      <c r="M326" s="7"/>
      <c r="N326" s="48"/>
      <c r="O326" s="78" cm="1">
        <f t="array" ref="O326">IF(M326&lt;12.5, 0,
IF(M326&lt;29, 6.25,
IF(M326&lt;50, 6.5,
IF(M326&lt;79, 6.75,
VALUE(SUBSTITUTE(
INDEX(RESUMO!$J$2:$J$100, MATCH(1,
(D326&gt;=RESUMO!$H$2:$H$100)*(D326&lt;=RESUMO!$I$2:$I$100)*(M326&gt;=RESUMO!$K$2:$K$100)*(M326&lt;=RESUMO!$L$2:$L$100),
0)), "R$ ", ""))
))))</f>
        <v>0</v>
      </c>
      <c r="P326" s="9"/>
      <c r="Q326" s="10" t="e">
        <f t="shared" si="55"/>
        <v>#DIV/0!</v>
      </c>
      <c r="R326" s="5">
        <f t="shared" si="56"/>
        <v>124.57580000000002</v>
      </c>
      <c r="S326" s="5">
        <f t="shared" si="57"/>
        <v>30.69580000000002</v>
      </c>
      <c r="T326" s="5">
        <f t="shared" si="58"/>
        <v>-3.7551999999999999</v>
      </c>
      <c r="U326" s="5">
        <f t="shared" si="59"/>
        <v>-97.635199999999998</v>
      </c>
    </row>
    <row r="327" spans="1:21" x14ac:dyDescent="0.25">
      <c r="A327" s="11" t="s">
        <v>44</v>
      </c>
      <c r="B327" s="6" t="s">
        <v>392</v>
      </c>
      <c r="C327" s="9">
        <v>479.87</v>
      </c>
      <c r="D327" s="6">
        <v>9</v>
      </c>
      <c r="E327" s="8">
        <v>0.04</v>
      </c>
      <c r="F327" s="49">
        <v>0</v>
      </c>
      <c r="G327" s="9">
        <v>21</v>
      </c>
      <c r="H327" s="9">
        <v>779</v>
      </c>
      <c r="I327" s="48">
        <v>0.12</v>
      </c>
      <c r="J327" s="78" cm="1">
        <f t="array" ref="J327">IF(H327&lt;12.5, H327/2,
IF(H327&lt;29, 6.25,
IF(H327&lt;50, 6.5,
IF(H327&lt;79, 6.75,
VALUE(SUBSTITUTE(
INDEX(RESUMO!$J$2:$J$100, MATCH(1,
(D327&gt;=RESUMO!$H$2:$H$100)*(D327&lt;=RESUMO!$I$2:$I$100)*(H327&gt;=RESUMO!$K$2:$K$100)*(H327&lt;=RESUMO!$L$2:$L$100),
0)), "R$ ", ""))
))))</f>
        <v>44.45</v>
      </c>
      <c r="K327" s="9">
        <v>0</v>
      </c>
      <c r="L327" s="10">
        <f t="shared" si="54"/>
        <v>0.1822916559691912</v>
      </c>
      <c r="M327" s="7"/>
      <c r="N327" s="48"/>
      <c r="O327" s="78" cm="1">
        <f t="array" ref="O327">IF(M327&lt;12.5, 0,
IF(M327&lt;29, 6.25,
IF(M327&lt;50, 6.5,
IF(M327&lt;79, 6.75,
VALUE(SUBSTITUTE(
INDEX(RESUMO!$J$2:$J$100, MATCH(1,
(D327&gt;=RESUMO!$H$2:$H$100)*(D327&lt;=RESUMO!$I$2:$I$100)*(M327&gt;=RESUMO!$K$2:$K$100)*(M327&lt;=RESUMO!$L$2:$L$100),
0)), "R$ ", ""))
))))</f>
        <v>0</v>
      </c>
      <c r="P327" s="9"/>
      <c r="Q327" s="10" t="e">
        <f t="shared" si="55"/>
        <v>#DIV/0!</v>
      </c>
      <c r="R327" s="5">
        <f t="shared" si="56"/>
        <v>621.87519999999995</v>
      </c>
      <c r="S327" s="5">
        <f t="shared" si="57"/>
        <v>142.00519999999995</v>
      </c>
      <c r="T327" s="5">
        <f t="shared" si="58"/>
        <v>-19.194800000000001</v>
      </c>
      <c r="U327" s="5">
        <f t="shared" si="59"/>
        <v>-499.06479999999999</v>
      </c>
    </row>
    <row r="328" spans="1:21" x14ac:dyDescent="0.25">
      <c r="A328" s="11" t="s">
        <v>44</v>
      </c>
      <c r="B328" s="61" t="s">
        <v>393</v>
      </c>
      <c r="C328" s="9">
        <v>68.81</v>
      </c>
      <c r="D328" s="6">
        <v>3</v>
      </c>
      <c r="E328" s="8">
        <v>0.04</v>
      </c>
      <c r="F328" s="49">
        <v>0</v>
      </c>
      <c r="G328" s="9">
        <v>2</v>
      </c>
      <c r="H328" s="9">
        <v>129.9</v>
      </c>
      <c r="I328" s="48">
        <v>0.11</v>
      </c>
      <c r="J328" s="78" cm="1">
        <f t="array" ref="J328">IF(H328&lt;12.5, H328/2,
IF(H328&lt;29, 6.25,
IF(H328&lt;50, 6.5,
IF(H328&lt;79, 6.75,
VALUE(SUBSTITUTE(
INDEX(RESUMO!$J$2:$J$100, MATCH(1,
(D328&gt;=RESUMO!$H$2:$H$100)*(D328&lt;=RESUMO!$I$2:$I$100)*(H328&gt;=RESUMO!$K$2:$K$100)*(H328&lt;=RESUMO!$L$2:$L$100),
0)), "R$ ", ""))
))))</f>
        <v>19.96</v>
      </c>
      <c r="K328" s="9">
        <v>0</v>
      </c>
      <c r="L328" s="10">
        <f t="shared" si="54"/>
        <v>0.18543956889915331</v>
      </c>
      <c r="M328" s="7"/>
      <c r="N328" s="48"/>
      <c r="O328" s="78" cm="1">
        <f t="array" ref="O328">IF(M328&lt;12.5, 0,
IF(M328&lt;29, 6.25,
IF(M328&lt;50, 6.5,
IF(M328&lt;79, 6.75,
VALUE(SUBSTITUTE(
INDEX(RESUMO!$J$2:$J$100, MATCH(1,
(D328&gt;=RESUMO!$H$2:$H$100)*(D328&lt;=RESUMO!$I$2:$I$100)*(M328&gt;=RESUMO!$K$2:$K$100)*(M328&lt;=RESUMO!$L$2:$L$100),
0)), "R$ ", ""))
))))</f>
        <v>0</v>
      </c>
      <c r="P328" s="9"/>
      <c r="Q328" s="10" t="e">
        <f t="shared" si="55"/>
        <v>#DIV/0!</v>
      </c>
      <c r="R328" s="5">
        <f t="shared" si="56"/>
        <v>92.898600000000016</v>
      </c>
      <c r="S328" s="5">
        <f t="shared" si="57"/>
        <v>24.088600000000014</v>
      </c>
      <c r="T328" s="5">
        <f t="shared" si="58"/>
        <v>-2.7524000000000002</v>
      </c>
      <c r="U328" s="5">
        <f t="shared" si="59"/>
        <v>-71.562399999999997</v>
      </c>
    </row>
    <row r="329" spans="1:21" x14ac:dyDescent="0.25">
      <c r="A329" s="11" t="s">
        <v>44</v>
      </c>
      <c r="B329" s="61" t="s">
        <v>394</v>
      </c>
      <c r="C329" s="9">
        <v>385.81</v>
      </c>
      <c r="D329" s="6">
        <v>3</v>
      </c>
      <c r="E329" s="8">
        <v>0.04</v>
      </c>
      <c r="F329" s="49">
        <v>0</v>
      </c>
      <c r="G329" s="9">
        <v>2</v>
      </c>
      <c r="H329" s="9">
        <v>639</v>
      </c>
      <c r="I329" s="48">
        <v>0.12</v>
      </c>
      <c r="J329" s="78" cm="1">
        <f t="array" ref="J329">IF(H329&lt;12.5, H329/2,
IF(H329&lt;29, 6.25,
IF(H329&lt;50, 6.5,
IF(H329&lt;79, 6.75,
VALUE(SUBSTITUTE(
INDEX(RESUMO!$J$2:$J$100, MATCH(1,
(D329&gt;=RESUMO!$H$2:$H$100)*(D329&lt;=RESUMO!$I$2:$I$100)*(H329&gt;=RESUMO!$K$2:$K$100)*(H329&lt;=RESUMO!$L$2:$L$100),
0)), "R$ ", ""))
))))</f>
        <v>24.95</v>
      </c>
      <c r="K329" s="9">
        <v>0</v>
      </c>
      <c r="L329" s="10">
        <f t="shared" si="54"/>
        <v>0.21303223787167444</v>
      </c>
      <c r="M329" s="7"/>
      <c r="N329" s="48"/>
      <c r="O329" s="78" cm="1">
        <f t="array" ref="O329">IF(M329&lt;12.5, 0,
IF(M329&lt;29, 6.25,
IF(M329&lt;50, 6.5,
IF(M329&lt;79, 6.75,
VALUE(SUBSTITUTE(
INDEX(RESUMO!$J$2:$J$100, MATCH(1,
(D329&gt;=RESUMO!$H$2:$H$100)*(D329&lt;=RESUMO!$I$2:$I$100)*(M329&gt;=RESUMO!$K$2:$K$100)*(M329&lt;=RESUMO!$L$2:$L$100),
0)), "R$ ", ""))
))))</f>
        <v>0</v>
      </c>
      <c r="P329" s="9"/>
      <c r="Q329" s="10" t="e">
        <f t="shared" si="55"/>
        <v>#DIV/0!</v>
      </c>
      <c r="R329" s="5">
        <f t="shared" si="56"/>
        <v>521.93759999999997</v>
      </c>
      <c r="S329" s="5">
        <f t="shared" si="57"/>
        <v>136.12759999999997</v>
      </c>
      <c r="T329" s="5">
        <f t="shared" si="58"/>
        <v>-15.432400000000001</v>
      </c>
      <c r="U329" s="5">
        <f t="shared" si="59"/>
        <v>-401.24239999999998</v>
      </c>
    </row>
    <row r="330" spans="1:21" x14ac:dyDescent="0.25">
      <c r="A330" s="11" t="s">
        <v>44</v>
      </c>
      <c r="B330" s="6" t="s">
        <v>395</v>
      </c>
      <c r="C330" s="9">
        <v>349.55</v>
      </c>
      <c r="D330" s="6">
        <v>9</v>
      </c>
      <c r="E330" s="8">
        <v>0.04</v>
      </c>
      <c r="F330" s="49">
        <v>0</v>
      </c>
      <c r="G330" s="9">
        <v>2</v>
      </c>
      <c r="H330" s="9">
        <v>585</v>
      </c>
      <c r="I330" s="48">
        <v>0.12</v>
      </c>
      <c r="J330" s="78" cm="1">
        <f t="array" ref="J330">IF(H330&lt;12.5, H330/2,
IF(H330&lt;29, 6.25,
IF(H330&lt;50, 6.5,
IF(H330&lt;79, 6.75,
VALUE(SUBSTITUTE(
INDEX(RESUMO!$J$2:$J$100, MATCH(1,
(D330&gt;=RESUMO!$H$2:$H$100)*(D330&lt;=RESUMO!$I$2:$I$100)*(H330&gt;=RESUMO!$K$2:$K$100)*(H330&lt;=RESUMO!$L$2:$L$100),
0)), "R$ ", ""))
))))</f>
        <v>44.45</v>
      </c>
      <c r="K330" s="9">
        <v>0</v>
      </c>
      <c r="L330" s="10">
        <f t="shared" si="54"/>
        <v>0.18259487179487166</v>
      </c>
      <c r="M330" s="7"/>
      <c r="N330" s="48"/>
      <c r="O330" s="78" cm="1">
        <f t="array" ref="O330">IF(M330&lt;12.5, 0,
IF(M330&lt;29, 6.25,
IF(M330&lt;50, 6.5,
IF(M330&lt;79, 6.75,
VALUE(SUBSTITUTE(
INDEX(RESUMO!$J$2:$J$100, MATCH(1,
(D330&gt;=RESUMO!$H$2:$H$100)*(D330&lt;=RESUMO!$I$2:$I$100)*(M330&gt;=RESUMO!$K$2:$K$100)*(M330&lt;=RESUMO!$L$2:$L$100),
0)), "R$ ", ""))
))))</f>
        <v>0</v>
      </c>
      <c r="P330" s="9"/>
      <c r="Q330" s="10" t="e">
        <f t="shared" si="55"/>
        <v>#DIV/0!</v>
      </c>
      <c r="R330" s="5">
        <f t="shared" si="56"/>
        <v>456.36799999999994</v>
      </c>
      <c r="S330" s="5">
        <f t="shared" si="57"/>
        <v>106.81799999999993</v>
      </c>
      <c r="T330" s="5">
        <f t="shared" si="58"/>
        <v>-13.982000000000001</v>
      </c>
      <c r="U330" s="5">
        <f t="shared" si="59"/>
        <v>-363.53200000000004</v>
      </c>
    </row>
    <row r="331" spans="1:21" x14ac:dyDescent="0.25">
      <c r="A331" s="11" t="s">
        <v>25</v>
      </c>
      <c r="B331" s="6" t="s">
        <v>397</v>
      </c>
      <c r="C331" s="9">
        <v>180.55</v>
      </c>
      <c r="D331" s="6">
        <v>9</v>
      </c>
      <c r="E331" s="8">
        <v>0.04</v>
      </c>
      <c r="F331" s="49">
        <v>0</v>
      </c>
      <c r="G331" s="9">
        <v>2</v>
      </c>
      <c r="H331" s="9">
        <v>329</v>
      </c>
      <c r="I331" s="48">
        <v>0.11</v>
      </c>
      <c r="J331" s="78" cm="1">
        <f t="array" ref="J331">IF(H331&lt;12.5, H331/2,
IF(H331&lt;29, 6.25,
IF(H331&lt;50, 6.5,
IF(H331&lt;79, 6.75,
VALUE(SUBSTITUTE(
INDEX(RESUMO!$J$2:$J$100, MATCH(1,
(D331&gt;=RESUMO!$H$2:$H$100)*(D331&lt;=RESUMO!$I$2:$I$100)*(H331&gt;=RESUMO!$K$2:$K$100)*(H331&lt;=RESUMO!$L$2:$L$100),
0)), "R$ ", ""))
))))</f>
        <v>44.45</v>
      </c>
      <c r="K331" s="9">
        <v>0</v>
      </c>
      <c r="L331" s="10">
        <f t="shared" si="54"/>
        <v>0.18415805471124619</v>
      </c>
      <c r="M331" s="7"/>
      <c r="N331" s="48"/>
      <c r="O331" s="78" cm="1">
        <f t="array" ref="O331">IF(M331&lt;12.5, 0,
IF(M331&lt;29, 6.25,
IF(M331&lt;50, 6.5,
IF(M331&lt;79, 6.75,
VALUE(SUBSTITUTE(
INDEX(RESUMO!$J$2:$J$100, MATCH(1,
(D331&gt;=RESUMO!$H$2:$H$100)*(D331&lt;=RESUMO!$I$2:$I$100)*(M331&gt;=RESUMO!$K$2:$K$100)*(M331&lt;=RESUMO!$L$2:$L$100),
0)), "R$ ", ""))
))))</f>
        <v>0</v>
      </c>
      <c r="P331" s="9"/>
      <c r="Q331" s="10" t="e">
        <f t="shared" si="55"/>
        <v>#DIV/0!</v>
      </c>
      <c r="R331" s="5">
        <f t="shared" si="56"/>
        <v>241.13800000000001</v>
      </c>
      <c r="S331" s="5">
        <f t="shared" si="57"/>
        <v>60.587999999999994</v>
      </c>
      <c r="T331" s="5">
        <f t="shared" si="58"/>
        <v>-7.2220000000000004</v>
      </c>
      <c r="U331" s="5">
        <f t="shared" si="59"/>
        <v>-187.77200000000002</v>
      </c>
    </row>
    <row r="332" spans="1:21" x14ac:dyDescent="0.25">
      <c r="A332" s="11" t="s">
        <v>33</v>
      </c>
      <c r="B332" s="6" t="s">
        <v>510</v>
      </c>
      <c r="C332" s="9">
        <v>295.7</v>
      </c>
      <c r="D332" s="6">
        <v>13</v>
      </c>
      <c r="E332" s="8">
        <v>0.04</v>
      </c>
      <c r="F332" s="49">
        <v>0</v>
      </c>
      <c r="G332" s="9">
        <v>2</v>
      </c>
      <c r="H332" s="9">
        <v>529</v>
      </c>
      <c r="I332" s="48">
        <v>0.11</v>
      </c>
      <c r="J332" s="78" cm="1">
        <f t="array" ref="J332">IF(H332&lt;12.5, H332/2,
IF(H332&lt;29, 6.25,
IF(H332&lt;50, 6.5,
IF(H332&lt;79, 6.75,
VALUE(SUBSTITUTE(
INDEX(RESUMO!$J$2:$J$100, MATCH(1,
(D332&gt;=RESUMO!$H$2:$H$100)*(D332&lt;=RESUMO!$I$2:$I$100)*(H332&gt;=RESUMO!$K$2:$K$100)*(H332&lt;=RESUMO!$L$2:$L$100),
0)), "R$ ", ""))
))))</f>
        <v>65.95</v>
      </c>
      <c r="K332" s="9">
        <v>0</v>
      </c>
      <c r="L332" s="10">
        <f t="shared" si="54"/>
        <v>0.18399243856332712</v>
      </c>
      <c r="M332" s="7"/>
      <c r="N332" s="48"/>
      <c r="O332" s="78" cm="1">
        <f t="array" ref="O332">IF(M332&lt;12.5, 0,
IF(M332&lt;29, 6.25,
IF(M332&lt;50, 6.5,
IF(M332&lt;79, 6.75,
VALUE(SUBSTITUTE(
INDEX(RESUMO!$J$2:$J$100, MATCH(1,
(D332&gt;=RESUMO!$H$2:$H$100)*(D332&lt;=RESUMO!$I$2:$I$100)*(M332&gt;=RESUMO!$K$2:$K$100)*(M332&lt;=RESUMO!$L$2:$L$100),
0)), "R$ ", ""))
))))</f>
        <v>0</v>
      </c>
      <c r="P332" s="9"/>
      <c r="Q332" s="10" t="e">
        <f t="shared" si="55"/>
        <v>#DIV/0!</v>
      </c>
      <c r="R332" s="5">
        <f t="shared" si="56"/>
        <v>393.03200000000004</v>
      </c>
      <c r="S332" s="5">
        <f t="shared" si="57"/>
        <v>97.33200000000005</v>
      </c>
      <c r="T332" s="5">
        <f t="shared" si="58"/>
        <v>-11.827999999999999</v>
      </c>
      <c r="U332" s="5">
        <f t="shared" si="59"/>
        <v>-307.52799999999996</v>
      </c>
    </row>
    <row r="333" spans="1:21" x14ac:dyDescent="0.25">
      <c r="A333" s="11" t="s">
        <v>33</v>
      </c>
      <c r="B333" s="6" t="s">
        <v>511</v>
      </c>
      <c r="C333" s="9">
        <v>295.7</v>
      </c>
      <c r="D333" s="6">
        <v>13</v>
      </c>
      <c r="E333" s="8">
        <v>0.04</v>
      </c>
      <c r="F333" s="49">
        <v>0</v>
      </c>
      <c r="G333" s="9">
        <v>21</v>
      </c>
      <c r="H333" s="9">
        <v>529</v>
      </c>
      <c r="I333" s="48">
        <v>0.11</v>
      </c>
      <c r="J333" s="78" cm="1">
        <f t="array" ref="J333">IF(H333&lt;12.5, H333/2,
IF(H333&lt;29, 6.25,
IF(H333&lt;50, 6.5,
IF(H333&lt;79, 6.75,
VALUE(SUBSTITUTE(
INDEX(RESUMO!$J$2:$J$100, MATCH(1,
(D333&gt;=RESUMO!$H$2:$H$100)*(D333&lt;=RESUMO!$I$2:$I$100)*(H333&gt;=RESUMO!$K$2:$K$100)*(H333&lt;=RESUMO!$L$2:$L$100),
0)), "R$ ", ""))
))))</f>
        <v>65.95</v>
      </c>
      <c r="K333" s="9">
        <v>0</v>
      </c>
      <c r="L333" s="10">
        <f t="shared" si="54"/>
        <v>0.18399243856332712</v>
      </c>
      <c r="M333" s="7"/>
      <c r="N333" s="48"/>
      <c r="O333" s="78" cm="1">
        <f t="array" ref="O333">IF(M333&lt;12.5, 0,
IF(M333&lt;29, 6.25,
IF(M333&lt;50, 6.5,
IF(M333&lt;79, 6.75,
VALUE(SUBSTITUTE(
INDEX(RESUMO!$J$2:$J$100, MATCH(1,
(D333&gt;=RESUMO!$H$2:$H$100)*(D333&lt;=RESUMO!$I$2:$I$100)*(M333&gt;=RESUMO!$K$2:$K$100)*(M333&lt;=RESUMO!$L$2:$L$100),
0)), "R$ ", ""))
))))</f>
        <v>0</v>
      </c>
      <c r="P333" s="9"/>
      <c r="Q333" s="10" t="e">
        <f t="shared" si="55"/>
        <v>#DIV/0!</v>
      </c>
      <c r="R333" s="5">
        <f t="shared" si="56"/>
        <v>393.03200000000004</v>
      </c>
      <c r="S333" s="5">
        <f t="shared" si="57"/>
        <v>97.33200000000005</v>
      </c>
      <c r="T333" s="5">
        <f t="shared" si="58"/>
        <v>-11.827999999999999</v>
      </c>
      <c r="U333" s="5">
        <f t="shared" si="59"/>
        <v>-307.52799999999996</v>
      </c>
    </row>
    <row r="334" spans="1:21" x14ac:dyDescent="0.25">
      <c r="A334" s="11" t="s">
        <v>33</v>
      </c>
      <c r="B334" s="6" t="s">
        <v>398</v>
      </c>
      <c r="C334" s="9">
        <v>236.4</v>
      </c>
      <c r="D334" s="6">
        <v>9</v>
      </c>
      <c r="E334" s="8">
        <v>0.04</v>
      </c>
      <c r="F334" s="49">
        <v>0</v>
      </c>
      <c r="G334" s="9">
        <v>2</v>
      </c>
      <c r="H334" s="9">
        <v>409</v>
      </c>
      <c r="I334" s="48">
        <v>0.11</v>
      </c>
      <c r="J334" s="78" cm="1">
        <f t="array" ref="J334">IF(H334&lt;12.5, H334/2,
IF(H334&lt;29, 6.25,
IF(H334&lt;50, 6.5,
IF(H334&lt;79, 6.75,
VALUE(SUBSTITUTE(
INDEX(RESUMO!$J$2:$J$100, MATCH(1,
(D334&gt;=RESUMO!$H$2:$H$100)*(D334&lt;=RESUMO!$I$2:$I$100)*(H334&gt;=RESUMO!$K$2:$K$100)*(H334&lt;=RESUMO!$L$2:$L$100),
0)), "R$ ", ""))
))))</f>
        <v>44.45</v>
      </c>
      <c r="K334" s="9">
        <v>0</v>
      </c>
      <c r="L334" s="10">
        <f t="shared" si="54"/>
        <v>0.1802053789731051</v>
      </c>
      <c r="M334" s="7"/>
      <c r="N334" s="48"/>
      <c r="O334" s="78" cm="1">
        <f t="array" ref="O334">IF(M334&lt;12.5, 0,
IF(M334&lt;29, 6.25,
IF(M334&lt;50, 6.5,
IF(M334&lt;79, 6.75,
VALUE(SUBSTITUTE(
INDEX(RESUMO!$J$2:$J$100, MATCH(1,
(D334&gt;=RESUMO!$H$2:$H$100)*(D334&lt;=RESUMO!$I$2:$I$100)*(M334&gt;=RESUMO!$K$2:$K$100)*(M334&lt;=RESUMO!$L$2:$L$100),
0)), "R$ ", ""))
))))</f>
        <v>0</v>
      </c>
      <c r="P334" s="9"/>
      <c r="Q334" s="10" t="e">
        <f t="shared" si="55"/>
        <v>#DIV/0!</v>
      </c>
      <c r="R334" s="5">
        <f t="shared" si="56"/>
        <v>310.10399999999998</v>
      </c>
      <c r="S334" s="5">
        <f t="shared" si="57"/>
        <v>73.703999999999979</v>
      </c>
      <c r="T334" s="5">
        <f t="shared" si="58"/>
        <v>-9.4560000000000013</v>
      </c>
      <c r="U334" s="5">
        <f t="shared" si="59"/>
        <v>-245.85599999999999</v>
      </c>
    </row>
    <row r="335" spans="1:21" x14ac:dyDescent="0.25">
      <c r="A335" s="11" t="s">
        <v>33</v>
      </c>
      <c r="B335" s="6" t="s">
        <v>399</v>
      </c>
      <c r="C335" s="9">
        <v>236.4</v>
      </c>
      <c r="D335" s="6">
        <v>9</v>
      </c>
      <c r="E335" s="8">
        <v>0.04</v>
      </c>
      <c r="F335" s="49">
        <v>0</v>
      </c>
      <c r="G335" s="9">
        <v>2</v>
      </c>
      <c r="H335" s="9">
        <v>409</v>
      </c>
      <c r="I335" s="48">
        <v>0.11</v>
      </c>
      <c r="J335" s="78" cm="1">
        <f t="array" ref="J335">IF(H335&lt;12.5, H335/2,
IF(H335&lt;29, 6.25,
IF(H335&lt;50, 6.5,
IF(H335&lt;79, 6.75,
VALUE(SUBSTITUTE(
INDEX(RESUMO!$J$2:$J$100, MATCH(1,
(D335&gt;=RESUMO!$H$2:$H$100)*(D335&lt;=RESUMO!$I$2:$I$100)*(H335&gt;=RESUMO!$K$2:$K$100)*(H335&lt;=RESUMO!$L$2:$L$100),
0)), "R$ ", ""))
))))</f>
        <v>44.45</v>
      </c>
      <c r="K335" s="9">
        <v>0</v>
      </c>
      <c r="L335" s="10">
        <f t="shared" si="54"/>
        <v>0.1802053789731051</v>
      </c>
      <c r="M335" s="7"/>
      <c r="N335" s="48"/>
      <c r="O335" s="78" cm="1">
        <f t="array" ref="O335">IF(M335&lt;12.5, 0,
IF(M335&lt;29, 6.25,
IF(M335&lt;50, 6.5,
IF(M335&lt;79, 6.75,
VALUE(SUBSTITUTE(
INDEX(RESUMO!$J$2:$J$100, MATCH(1,
(D335&gt;=RESUMO!$H$2:$H$100)*(D335&lt;=RESUMO!$I$2:$I$100)*(M335&gt;=RESUMO!$K$2:$K$100)*(M335&lt;=RESUMO!$L$2:$L$100),
0)), "R$ ", ""))
))))</f>
        <v>0</v>
      </c>
      <c r="P335" s="9"/>
      <c r="Q335" s="10" t="e">
        <f t="shared" si="55"/>
        <v>#DIV/0!</v>
      </c>
      <c r="R335" s="5">
        <f t="shared" si="56"/>
        <v>310.10399999999998</v>
      </c>
      <c r="S335" s="5">
        <f t="shared" si="57"/>
        <v>73.703999999999979</v>
      </c>
      <c r="T335" s="5">
        <f t="shared" si="58"/>
        <v>-9.4560000000000013</v>
      </c>
      <c r="U335" s="5">
        <f t="shared" si="59"/>
        <v>-245.85599999999999</v>
      </c>
    </row>
    <row r="336" spans="1:21" x14ac:dyDescent="0.25">
      <c r="A336" s="11" t="s">
        <v>33</v>
      </c>
      <c r="B336" s="6" t="s">
        <v>400</v>
      </c>
      <c r="C336" s="9">
        <v>226.55</v>
      </c>
      <c r="D336" s="6">
        <v>9</v>
      </c>
      <c r="E336" s="8">
        <v>0.04</v>
      </c>
      <c r="F336" s="49">
        <v>0</v>
      </c>
      <c r="G336" s="9">
        <v>21</v>
      </c>
      <c r="H336" s="9">
        <v>395</v>
      </c>
      <c r="I336" s="48">
        <v>0.11</v>
      </c>
      <c r="J336" s="78" cm="1">
        <f t="array" ref="J336">IF(H336&lt;12.5, H336/2,
IF(H336&lt;29, 6.25,
IF(H336&lt;50, 6.5,
IF(H336&lt;79, 6.75,
VALUE(SUBSTITUTE(
INDEX(RESUMO!$J$2:$J$100, MATCH(1,
(D336&gt;=RESUMO!$H$2:$H$100)*(D336&lt;=RESUMO!$I$2:$I$100)*(H336&gt;=RESUMO!$K$2:$K$100)*(H336&lt;=RESUMO!$L$2:$L$100),
0)), "R$ ", ""))
))))</f>
        <v>44.45</v>
      </c>
      <c r="K336" s="9">
        <v>0</v>
      </c>
      <c r="L336" s="10">
        <f t="shared" si="54"/>
        <v>0.18098227848101267</v>
      </c>
      <c r="M336" s="7"/>
      <c r="N336" s="48"/>
      <c r="O336" s="78" cm="1">
        <f t="array" ref="O336">IF(M336&lt;12.5, 0,
IF(M336&lt;29, 6.25,
IF(M336&lt;50, 6.5,
IF(M336&lt;79, 6.75,
VALUE(SUBSTITUTE(
INDEX(RESUMO!$J$2:$J$100, MATCH(1,
(D336&gt;=RESUMO!$H$2:$H$100)*(D336&lt;=RESUMO!$I$2:$I$100)*(M336&gt;=RESUMO!$K$2:$K$100)*(M336&lt;=RESUMO!$L$2:$L$100),
0)), "R$ ", ""))
))))</f>
        <v>0</v>
      </c>
      <c r="P336" s="9"/>
      <c r="Q336" s="10" t="e">
        <f t="shared" si="55"/>
        <v>#DIV/0!</v>
      </c>
      <c r="R336" s="5">
        <f t="shared" si="56"/>
        <v>298.03800000000001</v>
      </c>
      <c r="S336" s="5">
        <f t="shared" si="57"/>
        <v>71.488</v>
      </c>
      <c r="T336" s="5">
        <f t="shared" si="58"/>
        <v>-9.0620000000000012</v>
      </c>
      <c r="U336" s="5">
        <f t="shared" si="59"/>
        <v>-235.61200000000002</v>
      </c>
    </row>
    <row r="337" spans="1:21" x14ac:dyDescent="0.25">
      <c r="A337" s="11" t="s">
        <v>33</v>
      </c>
      <c r="B337" s="6" t="s">
        <v>401</v>
      </c>
      <c r="C337" s="9">
        <v>314.8</v>
      </c>
      <c r="D337" s="6">
        <v>13</v>
      </c>
      <c r="E337" s="8">
        <v>0.04</v>
      </c>
      <c r="F337" s="49">
        <v>0</v>
      </c>
      <c r="G337" s="9">
        <v>2</v>
      </c>
      <c r="H337" s="9">
        <v>555</v>
      </c>
      <c r="I337" s="48">
        <v>0.11</v>
      </c>
      <c r="J337" s="78" cm="1">
        <f t="array" ref="J337">IF(H337&lt;12.5, H337/2,
IF(H337&lt;29, 6.25,
IF(H337&lt;50, 6.5,
IF(H337&lt;79, 6.75,
VALUE(SUBSTITUTE(
INDEX(RESUMO!$J$2:$J$100, MATCH(1,
(D337&gt;=RESUMO!$H$2:$H$100)*(D337&lt;=RESUMO!$I$2:$I$100)*(H337&gt;=RESUMO!$K$2:$K$100)*(H337&lt;=RESUMO!$L$2:$L$100),
0)), "R$ ", ""))
))))</f>
        <v>65.95</v>
      </c>
      <c r="K337" s="9">
        <v>0</v>
      </c>
      <c r="L337" s="10">
        <f t="shared" si="54"/>
        <v>0.18127567567567568</v>
      </c>
      <c r="M337" s="7"/>
      <c r="N337" s="48"/>
      <c r="O337" s="78" cm="1">
        <f t="array" ref="O337">IF(M337&lt;12.5, 0,
IF(M337&lt;29, 6.25,
IF(M337&lt;50, 6.5,
IF(M337&lt;79, 6.75,
VALUE(SUBSTITUTE(
INDEX(RESUMO!$J$2:$J$100, MATCH(1,
(D337&gt;=RESUMO!$H$2:$H$100)*(D337&lt;=RESUMO!$I$2:$I$100)*(M337&gt;=RESUMO!$K$2:$K$100)*(M337&lt;=RESUMO!$L$2:$L$100),
0)), "R$ ", ""))
))))</f>
        <v>0</v>
      </c>
      <c r="P337" s="9"/>
      <c r="Q337" s="10" t="e">
        <f t="shared" si="55"/>
        <v>#DIV/0!</v>
      </c>
      <c r="R337" s="5">
        <f t="shared" si="56"/>
        <v>415.40800000000002</v>
      </c>
      <c r="S337" s="5">
        <f t="shared" si="57"/>
        <v>100.608</v>
      </c>
      <c r="T337" s="5">
        <f t="shared" si="58"/>
        <v>-12.592000000000001</v>
      </c>
      <c r="U337" s="5">
        <f t="shared" si="59"/>
        <v>-327.392</v>
      </c>
    </row>
    <row r="338" spans="1:21" x14ac:dyDescent="0.25">
      <c r="A338" s="11" t="s">
        <v>33</v>
      </c>
      <c r="B338" s="6" t="s">
        <v>402</v>
      </c>
      <c r="C338" s="9">
        <v>190.97</v>
      </c>
      <c r="D338" s="6">
        <v>9</v>
      </c>
      <c r="E338" s="8">
        <v>0.04</v>
      </c>
      <c r="F338" s="49">
        <v>0</v>
      </c>
      <c r="G338" s="9">
        <v>2</v>
      </c>
      <c r="H338" s="9">
        <v>345</v>
      </c>
      <c r="I338" s="48">
        <v>0.11</v>
      </c>
      <c r="J338" s="78" cm="1">
        <f t="array" ref="J338">IF(H338&lt;12.5, H338/2,
IF(H338&lt;29, 6.25,
IF(H338&lt;50, 6.5,
IF(H338&lt;79, 6.75,
VALUE(SUBSTITUTE(
INDEX(RESUMO!$J$2:$J$100, MATCH(1,
(D338&gt;=RESUMO!$H$2:$H$100)*(D338&lt;=RESUMO!$I$2:$I$100)*(H338&gt;=RESUMO!$K$2:$K$100)*(H338&lt;=RESUMO!$L$2:$L$100),
0)), "R$ ", ""))
))))</f>
        <v>44.45</v>
      </c>
      <c r="K338" s="9">
        <v>0</v>
      </c>
      <c r="L338" s="10">
        <f t="shared" si="54"/>
        <v>0.18548173913043484</v>
      </c>
      <c r="M338" s="7"/>
      <c r="N338" s="48"/>
      <c r="O338" s="78" cm="1">
        <f t="array" ref="O338">IF(M338&lt;12.5, 0,
IF(M338&lt;29, 6.25,
IF(M338&lt;50, 6.5,
IF(M338&lt;79, 6.75,
VALUE(SUBSTITUTE(
INDEX(RESUMO!$J$2:$J$100, MATCH(1,
(D338&gt;=RESUMO!$H$2:$H$100)*(D338&lt;=RESUMO!$I$2:$I$100)*(M338&gt;=RESUMO!$K$2:$K$100)*(M338&lt;=RESUMO!$L$2:$L$100),
0)), "R$ ", ""))
))))</f>
        <v>0</v>
      </c>
      <c r="P338" s="9"/>
      <c r="Q338" s="10" t="e">
        <f t="shared" si="55"/>
        <v>#DIV/0!</v>
      </c>
      <c r="R338" s="5">
        <f t="shared" si="56"/>
        <v>254.96120000000002</v>
      </c>
      <c r="S338" s="5">
        <f t="shared" si="57"/>
        <v>63.991200000000021</v>
      </c>
      <c r="T338" s="5">
        <f t="shared" si="58"/>
        <v>-7.6387999999999998</v>
      </c>
      <c r="U338" s="5">
        <f t="shared" si="59"/>
        <v>-198.6088</v>
      </c>
    </row>
    <row r="339" spans="1:21" x14ac:dyDescent="0.25">
      <c r="A339" s="11" t="s">
        <v>25</v>
      </c>
      <c r="B339" s="6" t="s">
        <v>403</v>
      </c>
      <c r="C339" s="9">
        <v>283.68</v>
      </c>
      <c r="D339" s="6">
        <v>13</v>
      </c>
      <c r="E339" s="8">
        <v>0.04</v>
      </c>
      <c r="F339" s="49">
        <v>0</v>
      </c>
      <c r="G339" s="9">
        <v>21</v>
      </c>
      <c r="H339" s="9">
        <v>509</v>
      </c>
      <c r="I339" s="48">
        <v>0.11</v>
      </c>
      <c r="J339" s="78" cm="1">
        <f t="array" ref="J339">IF(H339&lt;12.5, H339/2,
IF(H339&lt;29, 6.25,
IF(H339&lt;50, 6.5,
IF(H339&lt;79, 6.75,
VALUE(SUBSTITUTE(
INDEX(RESUMO!$J$2:$J$100, MATCH(1,
(D339&gt;=RESUMO!$H$2:$H$100)*(D339&lt;=RESUMO!$I$2:$I$100)*(H339&gt;=RESUMO!$K$2:$K$100)*(H339&lt;=RESUMO!$L$2:$L$100),
0)), "R$ ", ""))
))))</f>
        <v>65.95</v>
      </c>
      <c r="K339" s="9">
        <v>0</v>
      </c>
      <c r="L339" s="10">
        <f t="shared" si="54"/>
        <v>0.18081100196463656</v>
      </c>
      <c r="M339" s="7"/>
      <c r="N339" s="48"/>
      <c r="O339" s="78" cm="1">
        <f t="array" ref="O339">IF(M339&lt;12.5, 0,
IF(M339&lt;29, 6.25,
IF(M339&lt;50, 6.5,
IF(M339&lt;79, 6.75,
VALUE(SUBSTITUTE(
INDEX(RESUMO!$J$2:$J$100, MATCH(1,
(D339&gt;=RESUMO!$H$2:$H$100)*(D339&lt;=RESUMO!$I$2:$I$100)*(M339&gt;=RESUMO!$K$2:$K$100)*(M339&lt;=RESUMO!$L$2:$L$100),
0)), "R$ ", ""))
))))</f>
        <v>0</v>
      </c>
      <c r="P339" s="9"/>
      <c r="Q339" s="10" t="e">
        <f t="shared" si="55"/>
        <v>#DIV/0!</v>
      </c>
      <c r="R339" s="5">
        <f t="shared" si="56"/>
        <v>375.71280000000002</v>
      </c>
      <c r="S339" s="5">
        <f t="shared" si="57"/>
        <v>92.032800000000009</v>
      </c>
      <c r="T339" s="5">
        <f t="shared" si="58"/>
        <v>-11.347200000000001</v>
      </c>
      <c r="U339" s="5">
        <f t="shared" si="59"/>
        <v>-295.02719999999999</v>
      </c>
    </row>
    <row r="340" spans="1:21" x14ac:dyDescent="0.25">
      <c r="A340" s="11" t="s">
        <v>25</v>
      </c>
      <c r="B340" s="6" t="s">
        <v>404</v>
      </c>
      <c r="C340" s="9">
        <v>236.4</v>
      </c>
      <c r="D340" s="6">
        <v>9</v>
      </c>
      <c r="E340" s="8">
        <v>0.04</v>
      </c>
      <c r="F340" s="49">
        <v>0</v>
      </c>
      <c r="G340" s="9">
        <v>21</v>
      </c>
      <c r="H340" s="9">
        <v>409</v>
      </c>
      <c r="I340" s="48">
        <v>0.11</v>
      </c>
      <c r="J340" s="78" cm="1">
        <f t="array" ref="J340">IF(H340&lt;12.5, H340/2,
IF(H340&lt;29, 6.25,
IF(H340&lt;50, 6.5,
IF(H340&lt;79, 6.75,
VALUE(SUBSTITUTE(
INDEX(RESUMO!$J$2:$J$100, MATCH(1,
(D340&gt;=RESUMO!$H$2:$H$100)*(D340&lt;=RESUMO!$I$2:$I$100)*(H340&gt;=RESUMO!$K$2:$K$100)*(H340&lt;=RESUMO!$L$2:$L$100),
0)), "R$ ", ""))
))))</f>
        <v>44.45</v>
      </c>
      <c r="K340" s="9">
        <v>0</v>
      </c>
      <c r="L340" s="10">
        <f t="shared" si="54"/>
        <v>0.1802053789731051</v>
      </c>
      <c r="M340" s="7"/>
      <c r="N340" s="48"/>
      <c r="O340" s="78" cm="1">
        <f t="array" ref="O340">IF(M340&lt;12.5, 0,
IF(M340&lt;29, 6.25,
IF(M340&lt;50, 6.5,
IF(M340&lt;79, 6.75,
VALUE(SUBSTITUTE(
INDEX(RESUMO!$J$2:$J$100, MATCH(1,
(D340&gt;=RESUMO!$H$2:$H$100)*(D340&lt;=RESUMO!$I$2:$I$100)*(M340&gt;=RESUMO!$K$2:$K$100)*(M340&lt;=RESUMO!$L$2:$L$100),
0)), "R$ ", ""))
))))</f>
        <v>0</v>
      </c>
      <c r="P340" s="9"/>
      <c r="Q340" s="10" t="e">
        <f t="shared" si="55"/>
        <v>#DIV/0!</v>
      </c>
      <c r="R340" s="5">
        <f t="shared" si="56"/>
        <v>310.10399999999998</v>
      </c>
      <c r="S340" s="5">
        <f t="shared" si="57"/>
        <v>73.703999999999979</v>
      </c>
      <c r="T340" s="5">
        <f t="shared" si="58"/>
        <v>-9.4560000000000013</v>
      </c>
      <c r="U340" s="5">
        <f t="shared" si="59"/>
        <v>-245.85599999999999</v>
      </c>
    </row>
    <row r="341" spans="1:21" x14ac:dyDescent="0.25">
      <c r="A341" s="11" t="s">
        <v>25</v>
      </c>
      <c r="B341" s="6" t="s">
        <v>405</v>
      </c>
      <c r="C341" s="9">
        <v>203.2</v>
      </c>
      <c r="D341" s="6">
        <v>6</v>
      </c>
      <c r="E341" s="8">
        <v>0.04</v>
      </c>
      <c r="F341" s="49">
        <v>0</v>
      </c>
      <c r="G341" s="9">
        <v>12</v>
      </c>
      <c r="H341" s="9">
        <v>360</v>
      </c>
      <c r="I341" s="48">
        <v>0.11</v>
      </c>
      <c r="J341" s="78" cm="1">
        <f t="array" ref="J341">IF(H341&lt;12.5, H341/2,
IF(H341&lt;29, 6.25,
IF(H341&lt;50, 6.5,
IF(H341&lt;79, 6.75,
VALUE(SUBSTITUTE(
INDEX(RESUMO!$J$2:$J$100, MATCH(1,
(D341&gt;=RESUMO!$H$2:$H$100)*(D341&lt;=RESUMO!$I$2:$I$100)*(H341&gt;=RESUMO!$K$2:$K$100)*(H341&lt;=RESUMO!$L$2:$L$100),
0)), "R$ ", ""))
))))</f>
        <v>44.45</v>
      </c>
      <c r="K341" s="9">
        <v>0</v>
      </c>
      <c r="L341" s="10">
        <f t="shared" si="54"/>
        <v>0.17950555555555558</v>
      </c>
      <c r="M341" s="7"/>
      <c r="N341" s="48"/>
      <c r="O341" s="78" cm="1">
        <f t="array" ref="O341">IF(M341&lt;12.5, 0,
IF(M341&lt;29, 6.25,
IF(M341&lt;50, 6.5,
IF(M341&lt;79, 6.75,
VALUE(SUBSTITUTE(
INDEX(RESUMO!$J$2:$J$100, MATCH(1,
(D341&gt;=RESUMO!$H$2:$H$100)*(D341&lt;=RESUMO!$I$2:$I$100)*(M341&gt;=RESUMO!$K$2:$K$100)*(M341&lt;=RESUMO!$L$2:$L$100),
0)), "R$ ", ""))
))))</f>
        <v>0</v>
      </c>
      <c r="P341" s="9"/>
      <c r="Q341" s="10" t="e">
        <f t="shared" si="55"/>
        <v>#DIV/0!</v>
      </c>
      <c r="R341" s="5">
        <f t="shared" si="56"/>
        <v>267.822</v>
      </c>
      <c r="S341" s="5">
        <f t="shared" si="57"/>
        <v>64.622000000000014</v>
      </c>
      <c r="T341" s="5">
        <f t="shared" si="58"/>
        <v>-8.1280000000000001</v>
      </c>
      <c r="U341" s="5">
        <f t="shared" si="59"/>
        <v>-211.32799999999997</v>
      </c>
    </row>
    <row r="342" spans="1:21" x14ac:dyDescent="0.25">
      <c r="A342" s="11" t="s">
        <v>33</v>
      </c>
      <c r="B342" s="6" t="s">
        <v>406</v>
      </c>
      <c r="C342" s="9">
        <v>402.03</v>
      </c>
      <c r="D342" s="6">
        <v>13</v>
      </c>
      <c r="E342" s="8">
        <v>0.04</v>
      </c>
      <c r="F342" s="49">
        <v>0</v>
      </c>
      <c r="G342" s="9">
        <v>2</v>
      </c>
      <c r="H342" s="9">
        <v>685</v>
      </c>
      <c r="I342" s="48">
        <v>0.11</v>
      </c>
      <c r="J342" s="78" cm="1">
        <f t="array" ref="J342">IF(H342&lt;12.5, H342/2,
IF(H342&lt;29, 6.25,
IF(H342&lt;50, 6.5,
IF(H342&lt;79, 6.75,
VALUE(SUBSTITUTE(
INDEX(RESUMO!$J$2:$J$100, MATCH(1,
(D342&gt;=RESUMO!$H$2:$H$100)*(D342&lt;=RESUMO!$I$2:$I$100)*(H342&gt;=RESUMO!$K$2:$K$100)*(H342&lt;=RESUMO!$L$2:$L$100),
0)), "R$ ", ""))
))))</f>
        <v>65.95</v>
      </c>
      <c r="K342" s="9">
        <v>0</v>
      </c>
      <c r="L342" s="10">
        <f t="shared" si="54"/>
        <v>0.18334131386861313</v>
      </c>
      <c r="M342" s="7"/>
      <c r="N342" s="48"/>
      <c r="O342" s="78" cm="1">
        <f t="array" ref="O342">IF(M342&lt;12.5, 0,
IF(M342&lt;29, 6.25,
IF(M342&lt;50, 6.5,
IF(M342&lt;79, 6.75,
VALUE(SUBSTITUTE(
INDEX(RESUMO!$J$2:$J$100, MATCH(1,
(D342&gt;=RESUMO!$H$2:$H$100)*(D342&lt;=RESUMO!$I$2:$I$100)*(M342&gt;=RESUMO!$K$2:$K$100)*(M342&lt;=RESUMO!$L$2:$L$100),
0)), "R$ ", ""))
))))</f>
        <v>0</v>
      </c>
      <c r="P342" s="9"/>
      <c r="Q342" s="10" t="e">
        <f t="shared" si="55"/>
        <v>#DIV/0!</v>
      </c>
      <c r="R342" s="5">
        <f t="shared" si="56"/>
        <v>527.61879999999996</v>
      </c>
      <c r="S342" s="5">
        <f t="shared" si="57"/>
        <v>125.58879999999999</v>
      </c>
      <c r="T342" s="5">
        <f t="shared" si="58"/>
        <v>-16.081199999999999</v>
      </c>
      <c r="U342" s="5">
        <f t="shared" si="59"/>
        <v>-418.1112</v>
      </c>
    </row>
    <row r="343" spans="1:21" x14ac:dyDescent="0.25">
      <c r="A343" s="11" t="s">
        <v>11</v>
      </c>
      <c r="B343" s="6" t="s">
        <v>407</v>
      </c>
      <c r="C343" s="9"/>
      <c r="D343" s="6">
        <v>1</v>
      </c>
      <c r="E343" s="8">
        <v>0.04</v>
      </c>
      <c r="F343" s="49">
        <v>0</v>
      </c>
      <c r="G343" s="9">
        <v>2</v>
      </c>
      <c r="H343" s="9">
        <v>349</v>
      </c>
      <c r="I343" s="48">
        <v>0.11</v>
      </c>
      <c r="J343" s="78" cm="1">
        <f t="array" ref="J343">IF(H343&lt;12.5, H343/2,
IF(H343&lt;29, 6.25,
IF(H343&lt;50, 6.5,
IF(H343&lt;79, 6.75,
VALUE(SUBSTITUTE(
INDEX(RESUMO!$J$2:$J$100, MATCH(1,
(D343&gt;=RESUMO!$H$2:$H$100)*(D343&lt;=RESUMO!$I$2:$I$100)*(H343&gt;=RESUMO!$K$2:$K$100)*(H343&lt;=RESUMO!$L$2:$L$100),
0)), "R$ ", ""))
))))</f>
        <v>22.45</v>
      </c>
      <c r="K343" s="9">
        <v>0</v>
      </c>
      <c r="L343" s="10">
        <f t="shared" si="54"/>
        <v>0.82567335243553019</v>
      </c>
      <c r="M343" s="7"/>
      <c r="N343" s="48"/>
      <c r="O343" s="78" cm="1">
        <f t="array" ref="O343">IF(M343&lt;12.5, 0,
IF(M343&lt;29, 6.25,
IF(M343&lt;50, 6.5,
IF(M343&lt;79, 6.75,
VALUE(SUBSTITUTE(
INDEX(RESUMO!$J$2:$J$100, MATCH(1,
(D343&gt;=RESUMO!$H$2:$H$100)*(D343&lt;=RESUMO!$I$2:$I$100)*(M343&gt;=RESUMO!$K$2:$K$100)*(M343&lt;=RESUMO!$L$2:$L$100),
0)), "R$ ", ""))
))))</f>
        <v>0</v>
      </c>
      <c r="P343" s="9"/>
      <c r="Q343" s="10" t="e">
        <f t="shared" si="55"/>
        <v>#DIV/0!</v>
      </c>
      <c r="R343" s="5">
        <f t="shared" si="56"/>
        <v>288.16000000000003</v>
      </c>
      <c r="S343" s="5">
        <f t="shared" si="57"/>
        <v>288.16000000000003</v>
      </c>
      <c r="T343" s="5">
        <f t="shared" si="58"/>
        <v>0</v>
      </c>
      <c r="U343" s="5">
        <f t="shared" si="59"/>
        <v>0</v>
      </c>
    </row>
    <row r="344" spans="1:21" x14ac:dyDescent="0.25">
      <c r="A344" s="11" t="s">
        <v>25</v>
      </c>
      <c r="B344" s="6" t="s">
        <v>408</v>
      </c>
      <c r="C344" s="9">
        <v>89.64</v>
      </c>
      <c r="D344" s="6">
        <v>3</v>
      </c>
      <c r="E344" s="8">
        <v>0.04</v>
      </c>
      <c r="F344" s="49">
        <v>0</v>
      </c>
      <c r="G344" s="9">
        <v>21</v>
      </c>
      <c r="H344" s="9">
        <v>163</v>
      </c>
      <c r="I344" s="48">
        <v>0.11</v>
      </c>
      <c r="J344" s="78" cm="1">
        <f t="array" ref="J344">IF(H344&lt;12.5, H344/2,
IF(H344&lt;29, 6.25,
IF(H344&lt;50, 6.5,
IF(H344&lt;79, 6.75,
VALUE(SUBSTITUTE(
INDEX(RESUMO!$J$2:$J$100, MATCH(1,
(D344&gt;=RESUMO!$H$2:$H$100)*(D344&lt;=RESUMO!$I$2:$I$100)*(H344&gt;=RESUMO!$K$2:$K$100)*(H344&lt;=RESUMO!$L$2:$L$100),
0)), "R$ ", ""))
))))</f>
        <v>22.45</v>
      </c>
      <c r="K344" s="9">
        <v>0</v>
      </c>
      <c r="L344" s="10">
        <f t="shared" si="54"/>
        <v>0.18033374233128829</v>
      </c>
      <c r="M344" s="7"/>
      <c r="N344" s="48"/>
      <c r="O344" s="78" cm="1">
        <f t="array" ref="O344">IF(M344&lt;12.5, 0,
IF(M344&lt;29, 6.25,
IF(M344&lt;50, 6.5,
IF(M344&lt;79, 6.75,
VALUE(SUBSTITUTE(
INDEX(RESUMO!$J$2:$J$100, MATCH(1,
(D344&gt;=RESUMO!$H$2:$H$100)*(D344&lt;=RESUMO!$I$2:$I$100)*(M344&gt;=RESUMO!$K$2:$K$100)*(M344&lt;=RESUMO!$L$2:$L$100),
0)), "R$ ", ""))
))))</f>
        <v>0</v>
      </c>
      <c r="P344" s="9"/>
      <c r="Q344" s="10" t="e">
        <f t="shared" si="55"/>
        <v>#DIV/0!</v>
      </c>
      <c r="R344" s="5">
        <f t="shared" si="56"/>
        <v>119.03439999999999</v>
      </c>
      <c r="S344" s="5">
        <f t="shared" si="57"/>
        <v>29.39439999999999</v>
      </c>
      <c r="T344" s="5">
        <f t="shared" si="58"/>
        <v>-3.5855999999999999</v>
      </c>
      <c r="U344" s="5">
        <f t="shared" si="59"/>
        <v>-93.2256</v>
      </c>
    </row>
    <row r="345" spans="1:21" x14ac:dyDescent="0.25">
      <c r="A345" s="11" t="s">
        <v>25</v>
      </c>
      <c r="B345" s="6" t="s">
        <v>512</v>
      </c>
      <c r="C345" s="9">
        <v>96.03</v>
      </c>
      <c r="D345" s="6">
        <v>4</v>
      </c>
      <c r="E345" s="8">
        <v>0.04</v>
      </c>
      <c r="F345" s="49">
        <v>0</v>
      </c>
      <c r="G345" s="9">
        <v>2</v>
      </c>
      <c r="H345" s="9">
        <v>175</v>
      </c>
      <c r="I345" s="48">
        <v>0.11</v>
      </c>
      <c r="J345" s="78" cm="1">
        <f t="array" ref="J345">IF(H345&lt;12.5, H345/2,
IF(H345&lt;29, 6.25,
IF(H345&lt;50, 6.5,
IF(H345&lt;79, 6.75,
VALUE(SUBSTITUTE(
INDEX(RESUMO!$J$2:$J$100, MATCH(1,
(D345&gt;=RESUMO!$H$2:$H$100)*(D345&lt;=RESUMO!$I$2:$I$100)*(H345&gt;=RESUMO!$K$2:$K$100)*(H345&lt;=RESUMO!$L$2:$L$100),
0)), "R$ ", ""))
))))</f>
        <v>24.25</v>
      </c>
      <c r="K345" s="9">
        <v>0</v>
      </c>
      <c r="L345" s="10">
        <f t="shared" si="54"/>
        <v>0.18073599999999998</v>
      </c>
      <c r="M345" s="7"/>
      <c r="N345" s="48"/>
      <c r="O345" s="78" cm="1">
        <f t="array" ref="O345">IF(M345&lt;12.5, 0,
IF(M345&lt;29, 6.25,
IF(M345&lt;50, 6.5,
IF(M345&lt;79, 6.75,
VALUE(SUBSTITUTE(
INDEX(RESUMO!$J$2:$J$100, MATCH(1,
(D345&gt;=RESUMO!$H$2:$H$100)*(D345&lt;=RESUMO!$I$2:$I$100)*(M345&gt;=RESUMO!$K$2:$K$100)*(M345&lt;=RESUMO!$L$2:$L$100),
0)), "R$ ", ""))
))))</f>
        <v>0</v>
      </c>
      <c r="P345" s="9"/>
      <c r="Q345" s="10" t="e">
        <f t="shared" si="55"/>
        <v>#DIV/0!</v>
      </c>
      <c r="R345" s="5">
        <f t="shared" si="56"/>
        <v>127.6588</v>
      </c>
      <c r="S345" s="5">
        <f t="shared" si="57"/>
        <v>31.628799999999998</v>
      </c>
      <c r="T345" s="5">
        <f t="shared" si="58"/>
        <v>-3.8412000000000002</v>
      </c>
      <c r="U345" s="5">
        <f t="shared" si="59"/>
        <v>-99.871200000000002</v>
      </c>
    </row>
    <row r="346" spans="1:21" x14ac:dyDescent="0.25">
      <c r="A346" s="11" t="s">
        <v>25</v>
      </c>
      <c r="B346" s="6" t="s">
        <v>410</v>
      </c>
      <c r="C346" s="9">
        <v>96.03</v>
      </c>
      <c r="D346" s="6">
        <v>4</v>
      </c>
      <c r="E346" s="8">
        <v>0.04</v>
      </c>
      <c r="F346" s="49">
        <v>0</v>
      </c>
      <c r="G346" s="9">
        <v>12</v>
      </c>
      <c r="H346" s="9">
        <v>175</v>
      </c>
      <c r="I346" s="48">
        <v>0.11</v>
      </c>
      <c r="J346" s="78" cm="1">
        <f t="array" ref="J346">IF(H346&lt;12.5, H346/2,
IF(H346&lt;29, 6.25,
IF(H346&lt;50, 6.5,
IF(H346&lt;79, 6.75,
VALUE(SUBSTITUTE(
INDEX(RESUMO!$J$2:$J$100, MATCH(1,
(D346&gt;=RESUMO!$H$2:$H$100)*(D346&lt;=RESUMO!$I$2:$I$100)*(H346&gt;=RESUMO!$K$2:$K$100)*(H346&lt;=RESUMO!$L$2:$L$100),
0)), "R$ ", ""))
))))</f>
        <v>24.25</v>
      </c>
      <c r="K346" s="9">
        <v>0</v>
      </c>
      <c r="L346" s="10">
        <f t="shared" ref="L346:L748" si="60">S346/H346</f>
        <v>0.18073599999999998</v>
      </c>
      <c r="M346" s="7"/>
      <c r="N346" s="48"/>
      <c r="O346" s="78" cm="1">
        <f t="array" ref="O346">IF(M346&lt;12.5, 0,
IF(M346&lt;29, 6.25,
IF(M346&lt;50, 6.5,
IF(M346&lt;79, 6.75,
VALUE(SUBSTITUTE(
INDEX(RESUMO!$J$2:$J$100, MATCH(1,
(D346&gt;=RESUMO!$H$2:$H$100)*(D346&lt;=RESUMO!$I$2:$I$100)*(M346&gt;=RESUMO!$K$2:$K$100)*(M346&lt;=RESUMO!$L$2:$L$100),
0)), "R$ ", ""))
))))</f>
        <v>0</v>
      </c>
      <c r="P346" s="9"/>
      <c r="Q346" s="10" t="e">
        <f t="shared" si="55"/>
        <v>#DIV/0!</v>
      </c>
      <c r="R346" s="5">
        <f t="shared" si="56"/>
        <v>127.6588</v>
      </c>
      <c r="S346" s="5">
        <f t="shared" si="57"/>
        <v>31.628799999999998</v>
      </c>
      <c r="T346" s="5">
        <f t="shared" si="58"/>
        <v>-3.8412000000000002</v>
      </c>
      <c r="U346" s="5">
        <f t="shared" si="59"/>
        <v>-99.871200000000002</v>
      </c>
    </row>
    <row r="347" spans="1:21" x14ac:dyDescent="0.25">
      <c r="A347" s="11" t="s">
        <v>25</v>
      </c>
      <c r="B347" s="6" t="s">
        <v>411</v>
      </c>
      <c r="C347" s="9">
        <v>129.75</v>
      </c>
      <c r="D347" s="6">
        <v>3</v>
      </c>
      <c r="E347" s="8">
        <v>0.04</v>
      </c>
      <c r="F347" s="49">
        <v>0</v>
      </c>
      <c r="G347" s="9">
        <v>21</v>
      </c>
      <c r="H347" s="9">
        <v>225.9</v>
      </c>
      <c r="I347" s="48">
        <v>0.11</v>
      </c>
      <c r="J347" s="78" cm="1">
        <f t="array" ref="J347">IF(H347&lt;12.5, H347/2,
IF(H347&lt;29, 6.25,
IF(H347&lt;50, 6.5,
IF(H347&lt;79, 6.75,
VALUE(SUBSTITUTE(
INDEX(RESUMO!$J$2:$J$100, MATCH(1,
(D347&gt;=RESUMO!$H$2:$H$100)*(D347&lt;=RESUMO!$I$2:$I$100)*(H347&gt;=RESUMO!$K$2:$K$100)*(H347&lt;=RESUMO!$L$2:$L$100),
0)), "R$ ", ""))
))))</f>
        <v>24.95</v>
      </c>
      <c r="K347" s="9">
        <v>0</v>
      </c>
      <c r="L347" s="10">
        <f t="shared" si="60"/>
        <v>0.18220894200973894</v>
      </c>
      <c r="M347" s="7"/>
      <c r="N347" s="48"/>
      <c r="O347" s="78" cm="1">
        <f t="array" ref="O347">IF(M347&lt;12.5, 0,
IF(M347&lt;29, 6.25,
IF(M347&lt;50, 6.5,
IF(M347&lt;79, 6.75,
VALUE(SUBSTITUTE(
INDEX(RESUMO!$J$2:$J$100, MATCH(1,
(D347&gt;=RESUMO!$H$2:$H$100)*(D347&lt;=RESUMO!$I$2:$I$100)*(M347&gt;=RESUMO!$K$2:$K$100)*(M347&lt;=RESUMO!$L$2:$L$100),
0)), "R$ ", ""))
))))</f>
        <v>0</v>
      </c>
      <c r="P347" s="9"/>
      <c r="Q347" s="10" t="e">
        <f t="shared" si="55"/>
        <v>#DIV/0!</v>
      </c>
      <c r="R347" s="5">
        <f t="shared" si="56"/>
        <v>170.91100000000003</v>
      </c>
      <c r="S347" s="5">
        <f t="shared" si="57"/>
        <v>41.16100000000003</v>
      </c>
      <c r="T347" s="5">
        <f t="shared" si="58"/>
        <v>-5.19</v>
      </c>
      <c r="U347" s="5">
        <f t="shared" si="59"/>
        <v>-134.94</v>
      </c>
    </row>
    <row r="348" spans="1:21" x14ac:dyDescent="0.25">
      <c r="A348" s="11" t="s">
        <v>25</v>
      </c>
      <c r="B348" s="6" t="s">
        <v>409</v>
      </c>
      <c r="C348" s="9">
        <v>75.2</v>
      </c>
      <c r="D348" s="6">
        <v>3</v>
      </c>
      <c r="E348" s="8">
        <v>0.04</v>
      </c>
      <c r="F348" s="49">
        <v>0</v>
      </c>
      <c r="G348" s="9">
        <v>21</v>
      </c>
      <c r="H348" s="9">
        <v>144</v>
      </c>
      <c r="I348" s="48">
        <v>0.11</v>
      </c>
      <c r="J348" s="78" cm="1">
        <f t="array" ref="J348">IF(H348&lt;12.5, H348/2,
IF(H348&lt;29, 6.25,
IF(H348&lt;50, 6.5,
IF(H348&lt;79, 6.75,
VALUE(SUBSTITUTE(
INDEX(RESUMO!$J$2:$J$100, MATCH(1,
(D348&gt;=RESUMO!$H$2:$H$100)*(D348&lt;=RESUMO!$I$2:$I$100)*(H348&gt;=RESUMO!$K$2:$K$100)*(H348&lt;=RESUMO!$L$2:$L$100),
0)), "R$ ", ""))
))))</f>
        <v>19.96</v>
      </c>
      <c r="K348" s="9">
        <v>0</v>
      </c>
      <c r="L348" s="10">
        <f t="shared" si="60"/>
        <v>0.2082777777777777</v>
      </c>
      <c r="M348" s="7"/>
      <c r="N348" s="48"/>
      <c r="O348" s="78" cm="1">
        <f t="array" ref="O348">IF(M348&lt;12.5, 0,
IF(M348&lt;29, 6.25,
IF(M348&lt;50, 6.5,
IF(M348&lt;79, 6.75,
VALUE(SUBSTITUTE(
INDEX(RESUMO!$J$2:$J$100, MATCH(1,
(D348&gt;=RESUMO!$H$2:$H$100)*(D348&lt;=RESUMO!$I$2:$I$100)*(M348&gt;=RESUMO!$K$2:$K$100)*(M348&lt;=RESUMO!$L$2:$L$100),
0)), "R$ ", ""))
))))</f>
        <v>0</v>
      </c>
      <c r="P348" s="9"/>
      <c r="Q348" s="10" t="e">
        <f t="shared" si="55"/>
        <v>#DIV/0!</v>
      </c>
      <c r="R348" s="5">
        <f t="shared" si="56"/>
        <v>105.19199999999999</v>
      </c>
      <c r="S348" s="5">
        <f t="shared" si="57"/>
        <v>29.99199999999999</v>
      </c>
      <c r="T348" s="5">
        <f t="shared" si="58"/>
        <v>-3.008</v>
      </c>
      <c r="U348" s="5">
        <f t="shared" si="59"/>
        <v>-78.207999999999998</v>
      </c>
    </row>
    <row r="349" spans="1:21" x14ac:dyDescent="0.25">
      <c r="A349" s="11" t="s">
        <v>25</v>
      </c>
      <c r="B349" s="6" t="s">
        <v>412</v>
      </c>
      <c r="C349" s="9">
        <v>68.52</v>
      </c>
      <c r="D349" s="6">
        <v>2</v>
      </c>
      <c r="E349" s="8">
        <v>0.04</v>
      </c>
      <c r="F349" s="49">
        <v>0</v>
      </c>
      <c r="G349" s="9">
        <v>21</v>
      </c>
      <c r="H349" s="9">
        <v>127</v>
      </c>
      <c r="I349" s="48">
        <v>0.11</v>
      </c>
      <c r="J349" s="78" cm="1">
        <f t="array" ref="J349">IF(H349&lt;12.5, H349/2,
IF(H349&lt;29, 6.25,
IF(H349&lt;50, 6.5,
IF(H349&lt;79, 6.75,
VALUE(SUBSTITUTE(
INDEX(RESUMO!$J$2:$J$100, MATCH(1,
(D349&gt;=RESUMO!$H$2:$H$100)*(D349&lt;=RESUMO!$I$2:$I$100)*(H349&gt;=RESUMO!$K$2:$K$100)*(H349&lt;=RESUMO!$L$2:$L$100),
0)), "R$ ", ""))
))))</f>
        <v>18.760000000000002</v>
      </c>
      <c r="K349" s="9">
        <v>0</v>
      </c>
      <c r="L349" s="10">
        <f t="shared" si="60"/>
        <v>0.18117480314960635</v>
      </c>
      <c r="M349" s="7"/>
      <c r="N349" s="48"/>
      <c r="O349" s="78" cm="1">
        <f t="array" ref="O349">IF(M349&lt;12.5, 0,
IF(M349&lt;29, 6.25,
IF(M349&lt;50, 6.5,
IF(M349&lt;79, 6.75,
VALUE(SUBSTITUTE(
INDEX(RESUMO!$J$2:$J$100, MATCH(1,
(D349&gt;=RESUMO!$H$2:$H$100)*(D349&lt;=RESUMO!$I$2:$I$100)*(M349&gt;=RESUMO!$K$2:$K$100)*(M349&lt;=RESUMO!$L$2:$L$100),
0)), "R$ ", ""))
))))</f>
        <v>0</v>
      </c>
      <c r="P349" s="9"/>
      <c r="Q349" s="10" t="e">
        <f t="shared" si="55"/>
        <v>#DIV/0!</v>
      </c>
      <c r="R349" s="5">
        <f t="shared" si="56"/>
        <v>91.529200000000003</v>
      </c>
      <c r="S349" s="5">
        <f t="shared" si="57"/>
        <v>23.009200000000007</v>
      </c>
      <c r="T349" s="5">
        <f t="shared" si="58"/>
        <v>-2.7407999999999997</v>
      </c>
      <c r="U349" s="5">
        <f t="shared" si="59"/>
        <v>-71.260799999999989</v>
      </c>
    </row>
    <row r="350" spans="1:21" x14ac:dyDescent="0.25">
      <c r="A350" s="11" t="s">
        <v>25</v>
      </c>
      <c r="B350" s="6" t="s">
        <v>413</v>
      </c>
      <c r="C350" s="9">
        <v>127.65</v>
      </c>
      <c r="D350" s="6">
        <v>4</v>
      </c>
      <c r="E350" s="8">
        <v>0.04</v>
      </c>
      <c r="F350" s="49">
        <v>0</v>
      </c>
      <c r="G350" s="9">
        <v>21</v>
      </c>
      <c r="H350" s="9">
        <v>225</v>
      </c>
      <c r="I350" s="48">
        <v>0.11</v>
      </c>
      <c r="J350" s="78" cm="1">
        <f t="array" ref="J350">IF(H350&lt;12.5, H350/2,
IF(H350&lt;29, 6.25,
IF(H350&lt;50, 6.5,
IF(H350&lt;79, 6.75,
VALUE(SUBSTITUTE(
INDEX(RESUMO!$J$2:$J$100, MATCH(1,
(D350&gt;=RESUMO!$H$2:$H$100)*(D350&lt;=RESUMO!$I$2:$I$100)*(H350&gt;=RESUMO!$K$2:$K$100)*(H350&lt;=RESUMO!$L$2:$L$100),
0)), "R$ ", ""))
))))</f>
        <v>26.95</v>
      </c>
      <c r="K350" s="9">
        <v>0</v>
      </c>
      <c r="L350" s="10">
        <f t="shared" si="60"/>
        <v>0.18019555555555561</v>
      </c>
      <c r="M350" s="7"/>
      <c r="N350" s="48"/>
      <c r="O350" s="78" cm="1">
        <f t="array" ref="O350">IF(M350&lt;12.5, 0,
IF(M350&lt;29, 6.25,
IF(M350&lt;50, 6.5,
IF(M350&lt;79, 6.75,
VALUE(SUBSTITUTE(
INDEX(RESUMO!$J$2:$J$100, MATCH(1,
(D350&gt;=RESUMO!$H$2:$H$100)*(D350&lt;=RESUMO!$I$2:$I$100)*(M350&gt;=RESUMO!$K$2:$K$100)*(M350&lt;=RESUMO!$L$2:$L$100),
0)), "R$ ", ""))
))))</f>
        <v>0</v>
      </c>
      <c r="P350" s="9"/>
      <c r="Q350" s="10" t="e">
        <f t="shared" si="55"/>
        <v>#DIV/0!</v>
      </c>
      <c r="R350" s="5">
        <f t="shared" si="56"/>
        <v>168.19400000000002</v>
      </c>
      <c r="S350" s="5">
        <f t="shared" si="57"/>
        <v>40.544000000000011</v>
      </c>
      <c r="T350" s="5">
        <f t="shared" si="58"/>
        <v>-5.1060000000000008</v>
      </c>
      <c r="U350" s="5">
        <f t="shared" si="59"/>
        <v>-132.756</v>
      </c>
    </row>
    <row r="351" spans="1:21" x14ac:dyDescent="0.25">
      <c r="A351" s="11" t="s">
        <v>25</v>
      </c>
      <c r="B351" s="6" t="s">
        <v>414</v>
      </c>
      <c r="C351" s="9">
        <v>127.65</v>
      </c>
      <c r="D351" s="6">
        <v>4</v>
      </c>
      <c r="E351" s="8">
        <v>0.04</v>
      </c>
      <c r="F351" s="49">
        <v>0</v>
      </c>
      <c r="G351" s="9">
        <v>2</v>
      </c>
      <c r="H351" s="9">
        <v>225</v>
      </c>
      <c r="I351" s="48">
        <v>0.11</v>
      </c>
      <c r="J351" s="78" cm="1">
        <f t="array" ref="J351">IF(H351&lt;12.5, H351/2,
IF(H351&lt;29, 6.25,
IF(H351&lt;50, 6.5,
IF(H351&lt;79, 6.75,
VALUE(SUBSTITUTE(
INDEX(RESUMO!$J$2:$J$100, MATCH(1,
(D351&gt;=RESUMO!$H$2:$H$100)*(D351&lt;=RESUMO!$I$2:$I$100)*(H351&gt;=RESUMO!$K$2:$K$100)*(H351&lt;=RESUMO!$L$2:$L$100),
0)), "R$ ", ""))
))))</f>
        <v>26.95</v>
      </c>
      <c r="K351" s="9">
        <v>0</v>
      </c>
      <c r="L351" s="10">
        <f t="shared" si="60"/>
        <v>0.18019555555555561</v>
      </c>
      <c r="M351" s="7"/>
      <c r="N351" s="48"/>
      <c r="O351" s="78" cm="1">
        <f t="array" ref="O351">IF(M351&lt;12.5, 0,
IF(M351&lt;29, 6.25,
IF(M351&lt;50, 6.5,
IF(M351&lt;79, 6.75,
VALUE(SUBSTITUTE(
INDEX(RESUMO!$J$2:$J$100, MATCH(1,
(D351&gt;=RESUMO!$H$2:$H$100)*(D351&lt;=RESUMO!$I$2:$I$100)*(M351&gt;=RESUMO!$K$2:$K$100)*(M351&lt;=RESUMO!$L$2:$L$100),
0)), "R$ ", ""))
))))</f>
        <v>0</v>
      </c>
      <c r="P351" s="9"/>
      <c r="Q351" s="10" t="e">
        <f t="shared" si="55"/>
        <v>#DIV/0!</v>
      </c>
      <c r="R351" s="5">
        <f t="shared" si="56"/>
        <v>168.19400000000002</v>
      </c>
      <c r="S351" s="5">
        <f t="shared" si="57"/>
        <v>40.544000000000011</v>
      </c>
      <c r="T351" s="5">
        <f t="shared" si="58"/>
        <v>-5.1060000000000008</v>
      </c>
      <c r="U351" s="5">
        <f t="shared" si="59"/>
        <v>-132.756</v>
      </c>
    </row>
    <row r="352" spans="1:21" x14ac:dyDescent="0.25">
      <c r="A352" s="11" t="s">
        <v>25</v>
      </c>
      <c r="B352" s="6" t="s">
        <v>415</v>
      </c>
      <c r="C352" s="9">
        <v>128.05000000000001</v>
      </c>
      <c r="D352" s="6">
        <v>3</v>
      </c>
      <c r="E352" s="8">
        <v>0.04</v>
      </c>
      <c r="F352" s="49">
        <v>0</v>
      </c>
      <c r="G352" s="9">
        <v>12</v>
      </c>
      <c r="H352" s="9">
        <v>225</v>
      </c>
      <c r="I352" s="48">
        <v>0.11</v>
      </c>
      <c r="J352" s="78" cm="1">
        <f t="array" ref="J352">IF(H352&lt;12.5, H352/2,
IF(H352&lt;29, 6.25,
IF(H352&lt;50, 6.5,
IF(H352&lt;79, 6.75,
VALUE(SUBSTITUTE(
INDEX(RESUMO!$J$2:$J$100, MATCH(1,
(D352&gt;=RESUMO!$H$2:$H$100)*(D352&lt;=RESUMO!$I$2:$I$100)*(H352&gt;=RESUMO!$K$2:$K$100)*(H352&lt;=RESUMO!$L$2:$L$100),
0)), "R$ ", ""))
))))</f>
        <v>24.95</v>
      </c>
      <c r="K352" s="9">
        <v>0</v>
      </c>
      <c r="L352" s="10">
        <f t="shared" si="60"/>
        <v>0.18723555555555549</v>
      </c>
      <c r="M352" s="7"/>
      <c r="N352" s="48"/>
      <c r="O352" s="78" cm="1">
        <f t="array" ref="O352">IF(M352&lt;12.5, 0,
IF(M352&lt;29, 6.25,
IF(M352&lt;50, 6.5,
IF(M352&lt;79, 6.75,
VALUE(SUBSTITUTE(
INDEX(RESUMO!$J$2:$J$100, MATCH(1,
(D352&gt;=RESUMO!$H$2:$H$100)*(D352&lt;=RESUMO!$I$2:$I$100)*(M352&gt;=RESUMO!$K$2:$K$100)*(M352&lt;=RESUMO!$L$2:$L$100),
0)), "R$ ", ""))
))))</f>
        <v>0</v>
      </c>
      <c r="P352" s="9"/>
      <c r="Q352" s="10" t="e">
        <f t="shared" si="55"/>
        <v>#DIV/0!</v>
      </c>
      <c r="R352" s="5">
        <f t="shared" si="56"/>
        <v>170.178</v>
      </c>
      <c r="S352" s="5">
        <f t="shared" si="57"/>
        <v>42.127999999999986</v>
      </c>
      <c r="T352" s="5">
        <f t="shared" si="58"/>
        <v>-5.1220000000000008</v>
      </c>
      <c r="U352" s="5">
        <f t="shared" si="59"/>
        <v>-133.17200000000003</v>
      </c>
    </row>
    <row r="353" spans="1:21" x14ac:dyDescent="0.25">
      <c r="A353" s="11" t="s">
        <v>25</v>
      </c>
      <c r="B353" s="6" t="s">
        <v>416</v>
      </c>
      <c r="C353" s="9">
        <v>128.05000000000001</v>
      </c>
      <c r="D353" s="6">
        <v>3</v>
      </c>
      <c r="E353" s="8">
        <v>0.04</v>
      </c>
      <c r="F353" s="49">
        <v>0</v>
      </c>
      <c r="G353" s="9">
        <v>21</v>
      </c>
      <c r="H353" s="9">
        <v>225</v>
      </c>
      <c r="I353" s="48">
        <v>0.11</v>
      </c>
      <c r="J353" s="78" cm="1">
        <f t="array" ref="J353">IF(H353&lt;12.5, H353/2,
IF(H353&lt;29, 6.25,
IF(H353&lt;50, 6.5,
IF(H353&lt;79, 6.75,
VALUE(SUBSTITUTE(
INDEX(RESUMO!$J$2:$J$100, MATCH(1,
(D353&gt;=RESUMO!$H$2:$H$100)*(D353&lt;=RESUMO!$I$2:$I$100)*(H353&gt;=RESUMO!$K$2:$K$100)*(H353&lt;=RESUMO!$L$2:$L$100),
0)), "R$ ", ""))
))))</f>
        <v>24.95</v>
      </c>
      <c r="K353" s="9">
        <v>0</v>
      </c>
      <c r="L353" s="10">
        <f t="shared" si="60"/>
        <v>0.18723555555555549</v>
      </c>
      <c r="M353" s="7"/>
      <c r="N353" s="48"/>
      <c r="O353" s="78" cm="1">
        <f t="array" ref="O353">IF(M353&lt;12.5, 0,
IF(M353&lt;29, 6.25,
IF(M353&lt;50, 6.5,
IF(M353&lt;79, 6.75,
VALUE(SUBSTITUTE(
INDEX(RESUMO!$J$2:$J$100, MATCH(1,
(D353&gt;=RESUMO!$H$2:$H$100)*(D353&lt;=RESUMO!$I$2:$I$100)*(M353&gt;=RESUMO!$K$2:$K$100)*(M353&lt;=RESUMO!$L$2:$L$100),
0)), "R$ ", ""))
))))</f>
        <v>0</v>
      </c>
      <c r="P353" s="9"/>
      <c r="Q353" s="10" t="e">
        <f t="shared" si="55"/>
        <v>#DIV/0!</v>
      </c>
      <c r="R353" s="5">
        <f t="shared" si="56"/>
        <v>170.178</v>
      </c>
      <c r="S353" s="5">
        <f t="shared" si="57"/>
        <v>42.127999999999986</v>
      </c>
      <c r="T353" s="5">
        <f t="shared" si="58"/>
        <v>-5.1220000000000008</v>
      </c>
      <c r="U353" s="5">
        <f t="shared" si="59"/>
        <v>-133.17200000000003</v>
      </c>
    </row>
    <row r="354" spans="1:21" x14ac:dyDescent="0.25">
      <c r="A354" s="11" t="s">
        <v>25</v>
      </c>
      <c r="B354" s="6" t="s">
        <v>417</v>
      </c>
      <c r="C354" s="9">
        <v>129.75</v>
      </c>
      <c r="D354" s="6">
        <v>3</v>
      </c>
      <c r="E354" s="8">
        <v>0.04</v>
      </c>
      <c r="F354" s="49">
        <v>0</v>
      </c>
      <c r="G354" s="9">
        <v>21</v>
      </c>
      <c r="H354" s="9">
        <v>227</v>
      </c>
      <c r="I354" s="48">
        <v>0.11</v>
      </c>
      <c r="J354" s="78" cm="1">
        <f t="array" ref="J354">IF(H354&lt;12.5, H354/2,
IF(H354&lt;29, 6.25,
IF(H354&lt;50, 6.5,
IF(H354&lt;79, 6.75,
VALUE(SUBSTITUTE(
INDEX(RESUMO!$J$2:$J$100, MATCH(1,
(D354&gt;=RESUMO!$H$2:$H$100)*(D354&lt;=RESUMO!$I$2:$I$100)*(H354&gt;=RESUMO!$K$2:$K$100)*(H354&lt;=RESUMO!$L$2:$L$100),
0)), "R$ ", ""))
))))</f>
        <v>24.95</v>
      </c>
      <c r="K354" s="9">
        <v>0</v>
      </c>
      <c r="L354" s="10">
        <f t="shared" si="60"/>
        <v>0.18563876651982386</v>
      </c>
      <c r="M354" s="7"/>
      <c r="N354" s="48"/>
      <c r="O354" s="78" cm="1">
        <f t="array" ref="O354">IF(M354&lt;12.5, 0,
IF(M354&lt;29, 6.25,
IF(M354&lt;50, 6.5,
IF(M354&lt;79, 6.75,
VALUE(SUBSTITUTE(
INDEX(RESUMO!$J$2:$J$100, MATCH(1,
(D354&gt;=RESUMO!$H$2:$H$100)*(D354&lt;=RESUMO!$I$2:$I$100)*(M354&gt;=RESUMO!$K$2:$K$100)*(M354&lt;=RESUMO!$L$2:$L$100),
0)), "R$ ", ""))
))))</f>
        <v>0</v>
      </c>
      <c r="P354" s="9"/>
      <c r="Q354" s="10" t="e">
        <f t="shared" ref="Q354:Q748" si="61">U354/M354</f>
        <v>#DIV/0!</v>
      </c>
      <c r="R354" s="5">
        <f t="shared" si="56"/>
        <v>171.89000000000001</v>
      </c>
      <c r="S354" s="5">
        <f t="shared" si="57"/>
        <v>42.140000000000015</v>
      </c>
      <c r="T354" s="5">
        <f t="shared" si="58"/>
        <v>-5.19</v>
      </c>
      <c r="U354" s="5">
        <f t="shared" si="59"/>
        <v>-134.94</v>
      </c>
    </row>
    <row r="355" spans="1:21" x14ac:dyDescent="0.25">
      <c r="A355" s="11" t="s">
        <v>33</v>
      </c>
      <c r="B355" s="6" t="s">
        <v>418</v>
      </c>
      <c r="C355" s="9">
        <v>78.94</v>
      </c>
      <c r="D355" s="6">
        <v>3</v>
      </c>
      <c r="E355" s="8">
        <v>0.04</v>
      </c>
      <c r="F355" s="49">
        <v>0</v>
      </c>
      <c r="G355" s="9">
        <v>12</v>
      </c>
      <c r="H355" s="9">
        <v>144</v>
      </c>
      <c r="I355" s="48">
        <v>0.11</v>
      </c>
      <c r="J355" s="78" cm="1">
        <f t="array" ref="J355">IF(H355&lt;12.5, H355/2,
IF(H355&lt;29, 6.25,
IF(H355&lt;50, 6.5,
IF(H355&lt;79, 6.75,
VALUE(SUBSTITUTE(
INDEX(RESUMO!$J$2:$J$100, MATCH(1,
(D355&gt;=RESUMO!$H$2:$H$100)*(D355&lt;=RESUMO!$I$2:$I$100)*(H355&gt;=RESUMO!$K$2:$K$100)*(H355&lt;=RESUMO!$L$2:$L$100),
0)), "R$ ", ""))
))))</f>
        <v>19.96</v>
      </c>
      <c r="K355" s="9">
        <v>0</v>
      </c>
      <c r="L355" s="10">
        <f t="shared" si="60"/>
        <v>0.18126666666666658</v>
      </c>
      <c r="M355" s="7"/>
      <c r="N355" s="48"/>
      <c r="O355" s="78" cm="1">
        <f t="array" ref="O355">IF(M355&lt;12.5, 0,
IF(M355&lt;29, 6.25,
IF(M355&lt;50, 6.5,
IF(M355&lt;79, 6.75,
VALUE(SUBSTITUTE(
INDEX(RESUMO!$J$2:$J$100, MATCH(1,
(D355&gt;=RESUMO!$H$2:$H$100)*(D355&lt;=RESUMO!$I$2:$I$100)*(M355&gt;=RESUMO!$K$2:$K$100)*(M355&lt;=RESUMO!$L$2:$L$100),
0)), "R$ ", ""))
))))</f>
        <v>0</v>
      </c>
      <c r="P355" s="9"/>
      <c r="Q355" s="10" t="e">
        <f t="shared" si="61"/>
        <v>#DIV/0!</v>
      </c>
      <c r="R355" s="5">
        <f t="shared" si="56"/>
        <v>105.04239999999999</v>
      </c>
      <c r="S355" s="5">
        <f t="shared" si="57"/>
        <v>26.102399999999989</v>
      </c>
      <c r="T355" s="5">
        <f t="shared" si="58"/>
        <v>-3.1576</v>
      </c>
      <c r="U355" s="5">
        <f t="shared" si="59"/>
        <v>-82.0976</v>
      </c>
    </row>
    <row r="356" spans="1:21" x14ac:dyDescent="0.25">
      <c r="A356" s="11" t="s">
        <v>25</v>
      </c>
      <c r="B356" s="6" t="s">
        <v>419</v>
      </c>
      <c r="C356" s="9">
        <v>83.07</v>
      </c>
      <c r="D356" s="6">
        <v>2</v>
      </c>
      <c r="E356" s="8">
        <v>0.04</v>
      </c>
      <c r="F356" s="49">
        <v>0</v>
      </c>
      <c r="G356" s="9">
        <v>12</v>
      </c>
      <c r="H356" s="9">
        <v>149.9</v>
      </c>
      <c r="I356" s="48">
        <v>0.11</v>
      </c>
      <c r="J356" s="78" cm="1">
        <f t="array" ref="J356">IF(H356&lt;12.5, H356/2,
IF(H356&lt;29, 6.25,
IF(H356&lt;50, 6.5,
IF(H356&lt;79, 6.75,
VALUE(SUBSTITUTE(
INDEX(RESUMO!$J$2:$J$100, MATCH(1,
(D356&gt;=RESUMO!$H$2:$H$100)*(D356&lt;=RESUMO!$I$2:$I$100)*(H356&gt;=RESUMO!$K$2:$K$100)*(H356&lt;=RESUMO!$L$2:$L$100),
0)), "R$ ", ""))
))))</f>
        <v>18.760000000000002</v>
      </c>
      <c r="K356" s="9">
        <v>0</v>
      </c>
      <c r="L356" s="10">
        <f t="shared" si="60"/>
        <v>0.18851367578385592</v>
      </c>
      <c r="M356" s="7"/>
      <c r="N356" s="48"/>
      <c r="O356" s="78" cm="1">
        <f t="array" ref="O356">IF(M356&lt;12.5, 0,
IF(M356&lt;29, 6.25,
IF(M356&lt;50, 6.5,
IF(M356&lt;79, 6.75,
VALUE(SUBSTITUTE(
INDEX(RESUMO!$J$2:$J$100, MATCH(1,
(D356&gt;=RESUMO!$H$2:$H$100)*(D356&lt;=RESUMO!$I$2:$I$100)*(M356&gt;=RESUMO!$K$2:$K$100)*(M356&lt;=RESUMO!$L$2:$L$100),
0)), "R$ ", ""))
))))</f>
        <v>0</v>
      </c>
      <c r="P356" s="9"/>
      <c r="Q356" s="10" t="e">
        <f t="shared" si="61"/>
        <v>#DIV/0!</v>
      </c>
      <c r="R356" s="5">
        <f t="shared" si="56"/>
        <v>111.3282</v>
      </c>
      <c r="S356" s="5">
        <f t="shared" si="57"/>
        <v>28.258200000000002</v>
      </c>
      <c r="T356" s="5">
        <f t="shared" si="58"/>
        <v>-3.3228</v>
      </c>
      <c r="U356" s="5">
        <f t="shared" si="59"/>
        <v>-86.392799999999994</v>
      </c>
    </row>
    <row r="357" spans="1:21" x14ac:dyDescent="0.25">
      <c r="A357" s="11" t="s">
        <v>25</v>
      </c>
      <c r="B357" s="6" t="s">
        <v>420</v>
      </c>
      <c r="C357" s="9">
        <v>112.44</v>
      </c>
      <c r="D357" s="6">
        <v>1</v>
      </c>
      <c r="E357" s="8">
        <v>0.04</v>
      </c>
      <c r="F357" s="49">
        <v>0</v>
      </c>
      <c r="G357" s="9">
        <v>2</v>
      </c>
      <c r="H357" s="9">
        <v>194</v>
      </c>
      <c r="I357" s="48">
        <v>0.11</v>
      </c>
      <c r="J357" s="78" cm="1">
        <f t="array" ref="J357">IF(H357&lt;12.5, H357/2,
IF(H357&lt;29, 6.25,
IF(H357&lt;50, 6.5,
IF(H357&lt;79, 6.75,
VALUE(SUBSTITUTE(
INDEX(RESUMO!$J$2:$J$100, MATCH(1,
(D357&gt;=RESUMO!$H$2:$H$100)*(D357&lt;=RESUMO!$I$2:$I$100)*(H357&gt;=RESUMO!$K$2:$K$100)*(H357&lt;=RESUMO!$L$2:$L$100),
0)), "R$ ", ""))
))))</f>
        <v>20.2</v>
      </c>
      <c r="K357" s="9">
        <v>0</v>
      </c>
      <c r="L357" s="10">
        <f t="shared" si="60"/>
        <v>0.18310515463917529</v>
      </c>
      <c r="M357" s="7"/>
      <c r="N357" s="48"/>
      <c r="O357" s="78" cm="1">
        <f t="array" ref="O357">IF(M357&lt;12.5, 0,
IF(M357&lt;29, 6.25,
IF(M357&lt;50, 6.5,
IF(M357&lt;79, 6.75,
VALUE(SUBSTITUTE(
INDEX(RESUMO!$J$2:$J$100, MATCH(1,
(D357&gt;=RESUMO!$H$2:$H$100)*(D357&lt;=RESUMO!$I$2:$I$100)*(M357&gt;=RESUMO!$K$2:$K$100)*(M357&lt;=RESUMO!$L$2:$L$100),
0)), "R$ ", ""))
))))</f>
        <v>0</v>
      </c>
      <c r="P357" s="9"/>
      <c r="Q357" s="10" t="e">
        <f t="shared" si="61"/>
        <v>#DIV/0!</v>
      </c>
      <c r="R357" s="5">
        <f t="shared" si="56"/>
        <v>147.9624</v>
      </c>
      <c r="S357" s="5">
        <f t="shared" si="57"/>
        <v>35.522400000000005</v>
      </c>
      <c r="T357" s="5">
        <f t="shared" si="58"/>
        <v>-4.4976000000000003</v>
      </c>
      <c r="U357" s="5">
        <f t="shared" si="59"/>
        <v>-116.9376</v>
      </c>
    </row>
    <row r="358" spans="1:21" x14ac:dyDescent="0.25">
      <c r="A358" s="11" t="s">
        <v>25</v>
      </c>
      <c r="B358" s="6" t="s">
        <v>421</v>
      </c>
      <c r="C358" s="9">
        <v>64.760000000000005</v>
      </c>
      <c r="D358" s="6">
        <v>2</v>
      </c>
      <c r="E358" s="8">
        <v>0.04</v>
      </c>
      <c r="F358" s="49">
        <v>0</v>
      </c>
      <c r="G358" s="9">
        <v>21</v>
      </c>
      <c r="H358" s="9">
        <v>122</v>
      </c>
      <c r="I358" s="48">
        <v>0.11</v>
      </c>
      <c r="J358" s="78" cm="1">
        <f t="array" ref="J358">IF(H358&lt;12.5, H358/2,
IF(H358&lt;29, 6.25,
IF(H358&lt;50, 6.5,
IF(H358&lt;79, 6.75,
VALUE(SUBSTITUTE(
INDEX(RESUMO!$J$2:$J$100, MATCH(1,
(D358&gt;=RESUMO!$H$2:$H$100)*(D358&lt;=RESUMO!$I$2:$I$100)*(H358&gt;=RESUMO!$K$2:$K$100)*(H358&lt;=RESUMO!$L$2:$L$100),
0)), "R$ ", ""))
))))</f>
        <v>18.760000000000002</v>
      </c>
      <c r="K358" s="9">
        <v>0</v>
      </c>
      <c r="L358" s="10">
        <f t="shared" si="60"/>
        <v>0.18417704918032776</v>
      </c>
      <c r="M358" s="7"/>
      <c r="N358" s="48"/>
      <c r="O358" s="78" cm="1">
        <f t="array" ref="O358">IF(M358&lt;12.5, 0,
IF(M358&lt;29, 6.25,
IF(M358&lt;50, 6.5,
IF(M358&lt;79, 6.75,
VALUE(SUBSTITUTE(
INDEX(RESUMO!$J$2:$J$100, MATCH(1,
(D358&gt;=RESUMO!$H$2:$H$100)*(D358&lt;=RESUMO!$I$2:$I$100)*(M358&gt;=RESUMO!$K$2:$K$100)*(M358&lt;=RESUMO!$L$2:$L$100),
0)), "R$ ", ""))
))))</f>
        <v>0</v>
      </c>
      <c r="P358" s="9"/>
      <c r="Q358" s="10" t="e">
        <f t="shared" si="61"/>
        <v>#DIV/0!</v>
      </c>
      <c r="R358" s="5">
        <f t="shared" si="56"/>
        <v>87.229599999999991</v>
      </c>
      <c r="S358" s="5">
        <f t="shared" si="57"/>
        <v>22.469599999999986</v>
      </c>
      <c r="T358" s="5">
        <f t="shared" si="58"/>
        <v>-2.5904000000000003</v>
      </c>
      <c r="U358" s="5">
        <f t="shared" si="59"/>
        <v>-67.350400000000008</v>
      </c>
    </row>
    <row r="359" spans="1:21" x14ac:dyDescent="0.25">
      <c r="A359" s="11" t="s">
        <v>25</v>
      </c>
      <c r="B359" s="6" t="s">
        <v>422</v>
      </c>
      <c r="C359" s="9">
        <v>64.760000000000005</v>
      </c>
      <c r="D359" s="6">
        <v>2</v>
      </c>
      <c r="E359" s="8">
        <v>0.04</v>
      </c>
      <c r="F359" s="49">
        <v>0</v>
      </c>
      <c r="G359" s="9">
        <v>21</v>
      </c>
      <c r="H359" s="9">
        <v>122</v>
      </c>
      <c r="I359" s="48">
        <v>0.11</v>
      </c>
      <c r="J359" s="78" cm="1">
        <f t="array" ref="J359">IF(H359&lt;12.5, H359/2,
IF(H359&lt;29, 6.25,
IF(H359&lt;50, 6.5,
IF(H359&lt;79, 6.75,
VALUE(SUBSTITUTE(
INDEX(RESUMO!$J$2:$J$100, MATCH(1,
(D359&gt;=RESUMO!$H$2:$H$100)*(D359&lt;=RESUMO!$I$2:$I$100)*(H359&gt;=RESUMO!$K$2:$K$100)*(H359&lt;=RESUMO!$L$2:$L$100),
0)), "R$ ", ""))
))))</f>
        <v>18.760000000000002</v>
      </c>
      <c r="K359" s="9">
        <v>0</v>
      </c>
      <c r="L359" s="10">
        <f t="shared" si="60"/>
        <v>0.18417704918032776</v>
      </c>
      <c r="M359" s="7"/>
      <c r="N359" s="48"/>
      <c r="O359" s="78" cm="1">
        <f t="array" ref="O359">IF(M359&lt;12.5, 0,
IF(M359&lt;29, 6.25,
IF(M359&lt;50, 6.5,
IF(M359&lt;79, 6.75,
VALUE(SUBSTITUTE(
INDEX(RESUMO!$J$2:$J$100, MATCH(1,
(D359&gt;=RESUMO!$H$2:$H$100)*(D359&lt;=RESUMO!$I$2:$I$100)*(M359&gt;=RESUMO!$K$2:$K$100)*(M359&lt;=RESUMO!$L$2:$L$100),
0)), "R$ ", ""))
))))</f>
        <v>0</v>
      </c>
      <c r="P359" s="9"/>
      <c r="Q359" s="10" t="e">
        <f t="shared" si="61"/>
        <v>#DIV/0!</v>
      </c>
      <c r="R359" s="5">
        <f t="shared" si="56"/>
        <v>87.229599999999991</v>
      </c>
      <c r="S359" s="5">
        <f t="shared" si="57"/>
        <v>22.469599999999986</v>
      </c>
      <c r="T359" s="5">
        <f t="shared" si="58"/>
        <v>-2.5904000000000003</v>
      </c>
      <c r="U359" s="5">
        <f t="shared" si="59"/>
        <v>-67.350400000000008</v>
      </c>
    </row>
    <row r="360" spans="1:21" x14ac:dyDescent="0.25">
      <c r="A360" s="11" t="s">
        <v>25</v>
      </c>
      <c r="B360" s="6" t="s">
        <v>423</v>
      </c>
      <c r="C360" s="9">
        <v>76.44</v>
      </c>
      <c r="D360" s="6">
        <v>2</v>
      </c>
      <c r="E360" s="8">
        <v>0.04</v>
      </c>
      <c r="F360" s="49">
        <v>0</v>
      </c>
      <c r="G360" s="9">
        <v>21</v>
      </c>
      <c r="H360" s="9">
        <v>139.9</v>
      </c>
      <c r="I360" s="48">
        <v>0.11</v>
      </c>
      <c r="J360" s="78" cm="1">
        <f t="array" ref="J360">IF(H360&lt;12.5, H360/2,
IF(H360&lt;29, 6.25,
IF(H360&lt;50, 6.5,
IF(H360&lt;79, 6.75,
VALUE(SUBSTITUTE(
INDEX(RESUMO!$J$2:$J$100, MATCH(1,
(D360&gt;=RESUMO!$H$2:$H$100)*(D360&lt;=RESUMO!$I$2:$I$100)*(H360&gt;=RESUMO!$K$2:$K$100)*(H360&lt;=RESUMO!$L$2:$L$100),
0)), "R$ ", ""))
))))</f>
        <v>18.760000000000002</v>
      </c>
      <c r="K360" s="9">
        <v>0</v>
      </c>
      <c r="L360" s="10">
        <f t="shared" si="60"/>
        <v>0.18765832737669774</v>
      </c>
      <c r="M360" s="7"/>
      <c r="N360" s="48"/>
      <c r="O360" s="78" cm="1">
        <f t="array" ref="O360">IF(M360&lt;12.5, 0,
IF(M360&lt;29, 6.25,
IF(M360&lt;50, 6.5,
IF(M360&lt;79, 6.75,
VALUE(SUBSTITUTE(
INDEX(RESUMO!$J$2:$J$100, MATCH(1,
(D360&gt;=RESUMO!$H$2:$H$100)*(D360&lt;=RESUMO!$I$2:$I$100)*(M360&gt;=RESUMO!$K$2:$K$100)*(M360&lt;=RESUMO!$L$2:$L$100),
0)), "R$ ", ""))
))))</f>
        <v>0</v>
      </c>
      <c r="P360" s="9"/>
      <c r="Q360" s="10" t="e">
        <f t="shared" si="61"/>
        <v>#DIV/0!</v>
      </c>
      <c r="R360" s="5">
        <f t="shared" si="56"/>
        <v>102.69340000000001</v>
      </c>
      <c r="S360" s="5">
        <f t="shared" si="57"/>
        <v>26.253400000000013</v>
      </c>
      <c r="T360" s="5">
        <f t="shared" si="58"/>
        <v>-3.0575999999999999</v>
      </c>
      <c r="U360" s="5">
        <f t="shared" si="59"/>
        <v>-79.497599999999991</v>
      </c>
    </row>
    <row r="361" spans="1:21" x14ac:dyDescent="0.25">
      <c r="A361" s="11" t="s">
        <v>25</v>
      </c>
      <c r="B361" s="6" t="s">
        <v>424</v>
      </c>
      <c r="C361" s="9">
        <v>76.44</v>
      </c>
      <c r="D361" s="6">
        <v>2</v>
      </c>
      <c r="E361" s="8">
        <v>0.04</v>
      </c>
      <c r="F361" s="49">
        <v>0</v>
      </c>
      <c r="G361" s="9">
        <v>12</v>
      </c>
      <c r="H361" s="9">
        <v>139.9</v>
      </c>
      <c r="I361" s="48">
        <v>0.11</v>
      </c>
      <c r="J361" s="78" cm="1">
        <f t="array" ref="J361">IF(H361&lt;12.5, H361/2,
IF(H361&lt;29, 6.25,
IF(H361&lt;50, 6.5,
IF(H361&lt;79, 6.75,
VALUE(SUBSTITUTE(
INDEX(RESUMO!$J$2:$J$100, MATCH(1,
(D361&gt;=RESUMO!$H$2:$H$100)*(D361&lt;=RESUMO!$I$2:$I$100)*(H361&gt;=RESUMO!$K$2:$K$100)*(H361&lt;=RESUMO!$L$2:$L$100),
0)), "R$ ", ""))
))))</f>
        <v>18.760000000000002</v>
      </c>
      <c r="K361" s="9">
        <v>0</v>
      </c>
      <c r="L361" s="10">
        <f t="shared" si="60"/>
        <v>0.18765832737669774</v>
      </c>
      <c r="M361" s="7"/>
      <c r="N361" s="48"/>
      <c r="O361" s="78" cm="1">
        <f t="array" ref="O361">IF(M361&lt;12.5, 0,
IF(M361&lt;29, 6.25,
IF(M361&lt;50, 6.5,
IF(M361&lt;79, 6.75,
VALUE(SUBSTITUTE(
INDEX(RESUMO!$J$2:$J$100, MATCH(1,
(D361&gt;=RESUMO!$H$2:$H$100)*(D361&lt;=RESUMO!$I$2:$I$100)*(M361&gt;=RESUMO!$K$2:$K$100)*(M361&lt;=RESUMO!$L$2:$L$100),
0)), "R$ ", ""))
))))</f>
        <v>0</v>
      </c>
      <c r="P361" s="9"/>
      <c r="Q361" s="10" t="e">
        <f t="shared" si="61"/>
        <v>#DIV/0!</v>
      </c>
      <c r="R361" s="5">
        <f t="shared" si="56"/>
        <v>102.69340000000001</v>
      </c>
      <c r="S361" s="5">
        <f t="shared" si="57"/>
        <v>26.253400000000013</v>
      </c>
      <c r="T361" s="5">
        <f t="shared" si="58"/>
        <v>-3.0575999999999999</v>
      </c>
      <c r="U361" s="5">
        <f t="shared" si="59"/>
        <v>-79.497599999999991</v>
      </c>
    </row>
    <row r="362" spans="1:21" x14ac:dyDescent="0.25">
      <c r="A362" s="11" t="s">
        <v>25</v>
      </c>
      <c r="B362" s="6" t="s">
        <v>425</v>
      </c>
      <c r="C362" s="9">
        <v>81.239999999999995</v>
      </c>
      <c r="D362" s="6">
        <v>2</v>
      </c>
      <c r="E362" s="8">
        <v>0.04</v>
      </c>
      <c r="F362" s="49">
        <v>0</v>
      </c>
      <c r="G362" s="9">
        <v>12</v>
      </c>
      <c r="H362" s="9">
        <v>145.5</v>
      </c>
      <c r="I362" s="48">
        <v>0.11</v>
      </c>
      <c r="J362" s="78" cm="1">
        <f t="array" ref="J362">IF(H362&lt;12.5, H362/2,
IF(H362&lt;29, 6.25,
IF(H362&lt;50, 6.5,
IF(H362&lt;79, 6.75,
VALUE(SUBSTITUTE(
INDEX(RESUMO!$J$2:$J$100, MATCH(1,
(D362&gt;=RESUMO!$H$2:$H$100)*(D362&lt;=RESUMO!$I$2:$I$100)*(H362&gt;=RESUMO!$K$2:$K$100)*(H362&lt;=RESUMO!$L$2:$L$100),
0)), "R$ ", ""))
))))</f>
        <v>18.760000000000002</v>
      </c>
      <c r="K362" s="9">
        <v>0</v>
      </c>
      <c r="L362" s="10">
        <f t="shared" si="60"/>
        <v>0.18038075601374573</v>
      </c>
      <c r="M362" s="7"/>
      <c r="N362" s="48"/>
      <c r="O362" s="78" cm="1">
        <f t="array" ref="O362">IF(M362&lt;12.5, 0,
IF(M362&lt;29, 6.25,
IF(M362&lt;50, 6.5,
IF(M362&lt;79, 6.75,
VALUE(SUBSTITUTE(
INDEX(RESUMO!$J$2:$J$100, MATCH(1,
(D362&gt;=RESUMO!$H$2:$H$100)*(D362&lt;=RESUMO!$I$2:$I$100)*(M362&gt;=RESUMO!$K$2:$K$100)*(M362&lt;=RESUMO!$L$2:$L$100),
0)), "R$ ", ""))
))))</f>
        <v>0</v>
      </c>
      <c r="P362" s="9"/>
      <c r="Q362" s="10" t="e">
        <f t="shared" si="61"/>
        <v>#DIV/0!</v>
      </c>
      <c r="R362" s="5">
        <f t="shared" si="56"/>
        <v>107.4854</v>
      </c>
      <c r="S362" s="5">
        <f t="shared" si="57"/>
        <v>26.245400000000004</v>
      </c>
      <c r="T362" s="5">
        <f t="shared" si="58"/>
        <v>-3.2496</v>
      </c>
      <c r="U362" s="5">
        <f t="shared" si="59"/>
        <v>-84.489599999999996</v>
      </c>
    </row>
    <row r="363" spans="1:21" x14ac:dyDescent="0.25">
      <c r="A363" s="11" t="s">
        <v>25</v>
      </c>
      <c r="B363" s="6" t="s">
        <v>426</v>
      </c>
      <c r="C363" s="9">
        <v>81.239999999999995</v>
      </c>
      <c r="D363" s="6">
        <v>2</v>
      </c>
      <c r="E363" s="8">
        <v>0.04</v>
      </c>
      <c r="F363" s="49">
        <v>0</v>
      </c>
      <c r="G363" s="9">
        <v>12</v>
      </c>
      <c r="H363" s="9">
        <v>145.5</v>
      </c>
      <c r="I363" s="48">
        <v>0.11</v>
      </c>
      <c r="J363" s="78" cm="1">
        <f t="array" ref="J363">IF(H363&lt;12.5, H363/2,
IF(H363&lt;29, 6.25,
IF(H363&lt;50, 6.5,
IF(H363&lt;79, 6.75,
VALUE(SUBSTITUTE(
INDEX(RESUMO!$J$2:$J$100, MATCH(1,
(D363&gt;=RESUMO!$H$2:$H$100)*(D363&lt;=RESUMO!$I$2:$I$100)*(H363&gt;=RESUMO!$K$2:$K$100)*(H363&lt;=RESUMO!$L$2:$L$100),
0)), "R$ ", ""))
))))</f>
        <v>18.760000000000002</v>
      </c>
      <c r="K363" s="9">
        <v>0</v>
      </c>
      <c r="L363" s="10">
        <f t="shared" si="60"/>
        <v>0.18038075601374573</v>
      </c>
      <c r="M363" s="7"/>
      <c r="N363" s="48"/>
      <c r="O363" s="78" cm="1">
        <f t="array" ref="O363">IF(M363&lt;12.5, 0,
IF(M363&lt;29, 6.25,
IF(M363&lt;50, 6.5,
IF(M363&lt;79, 6.75,
VALUE(SUBSTITUTE(
INDEX(RESUMO!$J$2:$J$100, MATCH(1,
(D363&gt;=RESUMO!$H$2:$H$100)*(D363&lt;=RESUMO!$I$2:$I$100)*(M363&gt;=RESUMO!$K$2:$K$100)*(M363&lt;=RESUMO!$L$2:$L$100),
0)), "R$ ", ""))
))))</f>
        <v>0</v>
      </c>
      <c r="P363" s="9"/>
      <c r="Q363" s="10" t="e">
        <f t="shared" si="61"/>
        <v>#DIV/0!</v>
      </c>
      <c r="R363" s="5">
        <f t="shared" si="56"/>
        <v>107.4854</v>
      </c>
      <c r="S363" s="5">
        <f t="shared" si="57"/>
        <v>26.245400000000004</v>
      </c>
      <c r="T363" s="5">
        <f t="shared" si="58"/>
        <v>-3.2496</v>
      </c>
      <c r="U363" s="5">
        <f t="shared" si="59"/>
        <v>-84.489599999999996</v>
      </c>
    </row>
    <row r="364" spans="1:21" x14ac:dyDescent="0.25">
      <c r="A364" s="11" t="s">
        <v>25</v>
      </c>
      <c r="B364" s="6" t="s">
        <v>427</v>
      </c>
      <c r="C364" s="9">
        <v>71.260000000000005</v>
      </c>
      <c r="D364" s="6">
        <v>2</v>
      </c>
      <c r="E364" s="8">
        <v>0.04</v>
      </c>
      <c r="F364" s="49">
        <v>0</v>
      </c>
      <c r="G364" s="9">
        <v>21</v>
      </c>
      <c r="H364" s="9">
        <v>132</v>
      </c>
      <c r="I364" s="48">
        <v>0.11</v>
      </c>
      <c r="J364" s="78" cm="1">
        <f t="array" ref="J364">IF(H364&lt;12.5, H364/2,
IF(H364&lt;29, 6.25,
IF(H364&lt;50, 6.5,
IF(H364&lt;79, 6.75,
VALUE(SUBSTITUTE(
INDEX(RESUMO!$J$2:$J$100, MATCH(1,
(D364&gt;=RESUMO!$H$2:$H$100)*(D364&lt;=RESUMO!$I$2:$I$100)*(H364&gt;=RESUMO!$K$2:$K$100)*(H364&lt;=RESUMO!$L$2:$L$100),
0)), "R$ ", ""))
))))</f>
        <v>18.760000000000002</v>
      </c>
      <c r="K364" s="9">
        <v>0</v>
      </c>
      <c r="L364" s="10">
        <f t="shared" si="60"/>
        <v>0.18643636363636365</v>
      </c>
      <c r="M364" s="7"/>
      <c r="N364" s="48"/>
      <c r="O364" s="78" cm="1">
        <f t="array" ref="O364">IF(M364&lt;12.5, 0,
IF(M364&lt;29, 6.25,
IF(M364&lt;50, 6.5,
IF(M364&lt;79, 6.75,
VALUE(SUBSTITUTE(
INDEX(RESUMO!$J$2:$J$100, MATCH(1,
(D364&gt;=RESUMO!$H$2:$H$100)*(D364&lt;=RESUMO!$I$2:$I$100)*(M364&gt;=RESUMO!$K$2:$K$100)*(M364&lt;=RESUMO!$L$2:$L$100),
0)), "R$ ", ""))
))))</f>
        <v>0</v>
      </c>
      <c r="P364" s="9"/>
      <c r="Q364" s="10" t="e">
        <f t="shared" si="61"/>
        <v>#DIV/0!</v>
      </c>
      <c r="R364" s="5">
        <f t="shared" si="56"/>
        <v>95.869600000000005</v>
      </c>
      <c r="S364" s="5">
        <f t="shared" si="57"/>
        <v>24.6096</v>
      </c>
      <c r="T364" s="5">
        <f t="shared" si="58"/>
        <v>-2.8504</v>
      </c>
      <c r="U364" s="5">
        <f t="shared" si="59"/>
        <v>-74.110399999999998</v>
      </c>
    </row>
    <row r="365" spans="1:21" x14ac:dyDescent="0.25">
      <c r="A365" s="11" t="s">
        <v>25</v>
      </c>
      <c r="B365" s="6" t="s">
        <v>428</v>
      </c>
      <c r="C365" s="9">
        <v>71.260000000000005</v>
      </c>
      <c r="D365" s="6">
        <v>2</v>
      </c>
      <c r="E365" s="8">
        <v>0.04</v>
      </c>
      <c r="F365" s="49">
        <v>0</v>
      </c>
      <c r="G365" s="9">
        <v>21</v>
      </c>
      <c r="H365" s="9">
        <v>132</v>
      </c>
      <c r="I365" s="48">
        <v>0.11</v>
      </c>
      <c r="J365" s="78" cm="1">
        <f t="array" ref="J365">IF(H365&lt;12.5, H365/2,
IF(H365&lt;29, 6.25,
IF(H365&lt;50, 6.5,
IF(H365&lt;79, 6.75,
VALUE(SUBSTITUTE(
INDEX(RESUMO!$J$2:$J$100, MATCH(1,
(D365&gt;=RESUMO!$H$2:$H$100)*(D365&lt;=RESUMO!$I$2:$I$100)*(H365&gt;=RESUMO!$K$2:$K$100)*(H365&lt;=RESUMO!$L$2:$L$100),
0)), "R$ ", ""))
))))</f>
        <v>18.760000000000002</v>
      </c>
      <c r="K365" s="9">
        <v>0</v>
      </c>
      <c r="L365" s="10">
        <f t="shared" si="60"/>
        <v>0.18643636363636365</v>
      </c>
      <c r="M365" s="7"/>
      <c r="N365" s="48"/>
      <c r="O365" s="78" cm="1">
        <f t="array" ref="O365">IF(M365&lt;12.5, 0,
IF(M365&lt;29, 6.25,
IF(M365&lt;50, 6.5,
IF(M365&lt;79, 6.75,
VALUE(SUBSTITUTE(
INDEX(RESUMO!$J$2:$J$100, MATCH(1,
(D365&gt;=RESUMO!$H$2:$H$100)*(D365&lt;=RESUMO!$I$2:$I$100)*(M365&gt;=RESUMO!$K$2:$K$100)*(M365&lt;=RESUMO!$L$2:$L$100),
0)), "R$ ", ""))
))))</f>
        <v>0</v>
      </c>
      <c r="P365" s="9"/>
      <c r="Q365" s="10" t="e">
        <f t="shared" si="61"/>
        <v>#DIV/0!</v>
      </c>
      <c r="R365" s="5">
        <f t="shared" si="56"/>
        <v>95.869600000000005</v>
      </c>
      <c r="S365" s="5">
        <f t="shared" si="57"/>
        <v>24.6096</v>
      </c>
      <c r="T365" s="5">
        <f t="shared" si="58"/>
        <v>-2.8504</v>
      </c>
      <c r="U365" s="5">
        <f t="shared" si="59"/>
        <v>-74.110399999999998</v>
      </c>
    </row>
    <row r="366" spans="1:21" x14ac:dyDescent="0.25">
      <c r="A366" s="11" t="s">
        <v>33</v>
      </c>
      <c r="B366" s="6" t="s">
        <v>429</v>
      </c>
      <c r="C366" s="9">
        <v>250.17</v>
      </c>
      <c r="D366" s="6">
        <v>3</v>
      </c>
      <c r="E366" s="8">
        <v>0.04</v>
      </c>
      <c r="F366" s="49">
        <v>0</v>
      </c>
      <c r="G366" s="9">
        <v>21</v>
      </c>
      <c r="H366" s="9">
        <v>402</v>
      </c>
      <c r="I366" s="48">
        <v>0.11</v>
      </c>
      <c r="J366" s="78" cm="1">
        <f t="array" ref="J366">IF(H366&lt;12.5, H366/2,
IF(H366&lt;29, 6.25,
IF(H366&lt;50, 6.5,
IF(H366&lt;79, 6.75,
VALUE(SUBSTITUTE(
INDEX(RESUMO!$J$2:$J$100, MATCH(1,
(D366&gt;=RESUMO!$H$2:$H$100)*(D366&lt;=RESUMO!$I$2:$I$100)*(H366&gt;=RESUMO!$K$2:$K$100)*(H366&lt;=RESUMO!$L$2:$L$100),
0)), "R$ ", ""))
))))</f>
        <v>24.95</v>
      </c>
      <c r="K366" s="9">
        <v>0</v>
      </c>
      <c r="L366" s="10">
        <f t="shared" si="60"/>
        <v>0.18072935323383085</v>
      </c>
      <c r="M366" s="7"/>
      <c r="N366" s="48"/>
      <c r="O366" s="78" cm="1">
        <f t="array" ref="O366">IF(M366&lt;12.5, 0,
IF(M366&lt;29, 6.25,
IF(M366&lt;50, 6.5,
IF(M366&lt;79, 6.75,
VALUE(SUBSTITUTE(
INDEX(RESUMO!$J$2:$J$100, MATCH(1,
(D366&gt;=RESUMO!$H$2:$H$100)*(D366&lt;=RESUMO!$I$2:$I$100)*(M366&gt;=RESUMO!$K$2:$K$100)*(M366&lt;=RESUMO!$L$2:$L$100),
0)), "R$ ", ""))
))))</f>
        <v>0</v>
      </c>
      <c r="P366" s="9"/>
      <c r="Q366" s="10" t="e">
        <f t="shared" si="61"/>
        <v>#DIV/0!</v>
      </c>
      <c r="R366" s="5">
        <f t="shared" si="56"/>
        <v>322.82319999999999</v>
      </c>
      <c r="S366" s="5">
        <f t="shared" si="57"/>
        <v>72.653199999999998</v>
      </c>
      <c r="T366" s="5">
        <f t="shared" si="58"/>
        <v>-10.0068</v>
      </c>
      <c r="U366" s="5">
        <f t="shared" si="59"/>
        <v>-260.17680000000001</v>
      </c>
    </row>
    <row r="367" spans="1:21" x14ac:dyDescent="0.25">
      <c r="A367" s="11" t="s">
        <v>33</v>
      </c>
      <c r="B367" s="6" t="s">
        <v>430</v>
      </c>
      <c r="C367" s="9">
        <v>250.17</v>
      </c>
      <c r="D367" s="6">
        <v>3</v>
      </c>
      <c r="E367" s="8">
        <v>0.04</v>
      </c>
      <c r="F367" s="49">
        <v>0</v>
      </c>
      <c r="G367" s="9">
        <v>12</v>
      </c>
      <c r="H367" s="9">
        <v>402</v>
      </c>
      <c r="I367" s="48">
        <v>0.11</v>
      </c>
      <c r="J367" s="78" cm="1">
        <f t="array" ref="J367">IF(H367&lt;12.5, H367/2,
IF(H367&lt;29, 6.25,
IF(H367&lt;50, 6.5,
IF(H367&lt;79, 6.75,
VALUE(SUBSTITUTE(
INDEX(RESUMO!$J$2:$J$100, MATCH(1,
(D367&gt;=RESUMO!$H$2:$H$100)*(D367&lt;=RESUMO!$I$2:$I$100)*(H367&gt;=RESUMO!$K$2:$K$100)*(H367&lt;=RESUMO!$L$2:$L$100),
0)), "R$ ", ""))
))))</f>
        <v>24.95</v>
      </c>
      <c r="K367" s="9">
        <v>0</v>
      </c>
      <c r="L367" s="10">
        <f t="shared" si="60"/>
        <v>0.18072935323383085</v>
      </c>
      <c r="M367" s="7"/>
      <c r="N367" s="48"/>
      <c r="O367" s="78" cm="1">
        <f t="array" ref="O367">IF(M367&lt;12.5, 0,
IF(M367&lt;29, 6.25,
IF(M367&lt;50, 6.5,
IF(M367&lt;79, 6.75,
VALUE(SUBSTITUTE(
INDEX(RESUMO!$J$2:$J$100, MATCH(1,
(D367&gt;=RESUMO!$H$2:$H$100)*(D367&lt;=RESUMO!$I$2:$I$100)*(M367&gt;=RESUMO!$K$2:$K$100)*(M367&lt;=RESUMO!$L$2:$L$100),
0)), "R$ ", ""))
))))</f>
        <v>0</v>
      </c>
      <c r="P367" s="9"/>
      <c r="Q367" s="10" t="e">
        <f t="shared" si="61"/>
        <v>#DIV/0!</v>
      </c>
      <c r="R367" s="5">
        <f t="shared" ref="R367:R748" si="62">(H367-(H367*I367)-J367-(C367*E367)+K367)</f>
        <v>322.82319999999999</v>
      </c>
      <c r="S367" s="5">
        <f t="shared" ref="S367:S748" si="63">R367-(C367-F367)</f>
        <v>72.653199999999998</v>
      </c>
      <c r="T367" s="5">
        <f t="shared" ref="T367:T748" si="64">(M367-(M367*N367)-O367-(C367*E367)+P367)</f>
        <v>-10.0068</v>
      </c>
      <c r="U367" s="5">
        <f t="shared" ref="U367:U748" si="65">T367-(C367-F367)</f>
        <v>-260.17680000000001</v>
      </c>
    </row>
    <row r="368" spans="1:21" x14ac:dyDescent="0.25">
      <c r="A368" s="11" t="s">
        <v>33</v>
      </c>
      <c r="B368" s="6" t="s">
        <v>431</v>
      </c>
      <c r="C368" s="9">
        <v>144.35</v>
      </c>
      <c r="D368" s="6">
        <v>2</v>
      </c>
      <c r="E368" s="8">
        <v>0.04</v>
      </c>
      <c r="F368" s="49">
        <v>0</v>
      </c>
      <c r="G368" s="9">
        <v>12</v>
      </c>
      <c r="H368" s="9">
        <v>245</v>
      </c>
      <c r="I368" s="48">
        <v>0.11</v>
      </c>
      <c r="J368" s="78" cm="1">
        <f t="array" ref="J368">IF(H368&lt;12.5, H368/2,
IF(H368&lt;29, 6.25,
IF(H368&lt;50, 6.5,
IF(H368&lt;79, 6.75,
VALUE(SUBSTITUTE(
INDEX(RESUMO!$J$2:$J$100, MATCH(1,
(D368&gt;=RESUMO!$H$2:$H$100)*(D368&lt;=RESUMO!$I$2:$I$100)*(H368&gt;=RESUMO!$K$2:$K$100)*(H368&lt;=RESUMO!$L$2:$L$100),
0)), "R$ ", ""))
))))</f>
        <v>23.45</v>
      </c>
      <c r="K368" s="9">
        <v>0</v>
      </c>
      <c r="L368" s="10">
        <f t="shared" si="60"/>
        <v>0.18153469387755114</v>
      </c>
      <c r="M368" s="7"/>
      <c r="N368" s="48"/>
      <c r="O368" s="78" cm="1">
        <f t="array" ref="O368">IF(M368&lt;12.5, 0,
IF(M368&lt;29, 6.25,
IF(M368&lt;50, 6.5,
IF(M368&lt;79, 6.75,
VALUE(SUBSTITUTE(
INDEX(RESUMO!$J$2:$J$100, MATCH(1,
(D368&gt;=RESUMO!$H$2:$H$100)*(D368&lt;=RESUMO!$I$2:$I$100)*(M368&gt;=RESUMO!$K$2:$K$100)*(M368&lt;=RESUMO!$L$2:$L$100),
0)), "R$ ", ""))
))))</f>
        <v>0</v>
      </c>
      <c r="P368" s="9"/>
      <c r="Q368" s="10" t="e">
        <f t="shared" si="61"/>
        <v>#DIV/0!</v>
      </c>
      <c r="R368" s="5">
        <f t="shared" si="62"/>
        <v>188.82600000000002</v>
      </c>
      <c r="S368" s="5">
        <f t="shared" si="63"/>
        <v>44.476000000000028</v>
      </c>
      <c r="T368" s="5">
        <f t="shared" si="64"/>
        <v>-5.774</v>
      </c>
      <c r="U368" s="5">
        <f t="shared" si="65"/>
        <v>-150.124</v>
      </c>
    </row>
    <row r="369" spans="1:21" x14ac:dyDescent="0.25">
      <c r="A369" s="11" t="s">
        <v>33</v>
      </c>
      <c r="B369" s="6" t="s">
        <v>432</v>
      </c>
      <c r="C369" s="9">
        <v>81.41</v>
      </c>
      <c r="D369" s="6">
        <v>2</v>
      </c>
      <c r="E369" s="8">
        <v>0.04</v>
      </c>
      <c r="F369" s="49">
        <v>0</v>
      </c>
      <c r="G369" s="9">
        <v>1</v>
      </c>
      <c r="H369" s="9">
        <v>146</v>
      </c>
      <c r="I369" s="48">
        <v>0.11</v>
      </c>
      <c r="J369" s="78" cm="1">
        <f t="array" ref="J369">IF(H369&lt;12.5, H369/2,
IF(H369&lt;29, 6.25,
IF(H369&lt;50, 6.5,
IF(H369&lt;79, 6.75,
VALUE(SUBSTITUTE(
INDEX(RESUMO!$J$2:$J$100, MATCH(1,
(D369&gt;=RESUMO!$H$2:$H$100)*(D369&lt;=RESUMO!$I$2:$I$100)*(H369&gt;=RESUMO!$K$2:$K$100)*(H369&lt;=RESUMO!$L$2:$L$100),
0)), "R$ ", ""))
))))</f>
        <v>18.760000000000002</v>
      </c>
      <c r="K369" s="9">
        <v>0</v>
      </c>
      <c r="L369" s="10">
        <f t="shared" si="60"/>
        <v>0.18159999999999998</v>
      </c>
      <c r="M369" s="7"/>
      <c r="N369" s="48"/>
      <c r="O369" s="78" cm="1">
        <f t="array" ref="O369">IF(M369&lt;12.5, 0,
IF(M369&lt;29, 6.25,
IF(M369&lt;50, 6.5,
IF(M369&lt;79, 6.75,
VALUE(SUBSTITUTE(
INDEX(RESUMO!$J$2:$J$100, MATCH(1,
(D369&gt;=RESUMO!$H$2:$H$100)*(D369&lt;=RESUMO!$I$2:$I$100)*(M369&gt;=RESUMO!$K$2:$K$100)*(M369&lt;=RESUMO!$L$2:$L$100),
0)), "R$ ", ""))
))))</f>
        <v>0</v>
      </c>
      <c r="P369" s="9"/>
      <c r="Q369" s="10" t="e">
        <f t="shared" si="61"/>
        <v>#DIV/0!</v>
      </c>
      <c r="R369" s="5">
        <f t="shared" si="62"/>
        <v>107.92359999999999</v>
      </c>
      <c r="S369" s="5">
        <f t="shared" si="63"/>
        <v>26.513599999999997</v>
      </c>
      <c r="T369" s="5">
        <f t="shared" si="64"/>
        <v>-3.2563999999999997</v>
      </c>
      <c r="U369" s="5">
        <f t="shared" si="65"/>
        <v>-84.666399999999996</v>
      </c>
    </row>
    <row r="370" spans="1:21" x14ac:dyDescent="0.25">
      <c r="A370" s="11" t="s">
        <v>33</v>
      </c>
      <c r="B370" s="6" t="s">
        <v>433</v>
      </c>
      <c r="C370" s="9">
        <v>81.41</v>
      </c>
      <c r="D370" s="6">
        <v>2</v>
      </c>
      <c r="E370" s="8">
        <v>0.04</v>
      </c>
      <c r="F370" s="49">
        <v>0</v>
      </c>
      <c r="G370" s="9">
        <v>12</v>
      </c>
      <c r="H370" s="9">
        <v>146</v>
      </c>
      <c r="I370" s="48">
        <v>0.11</v>
      </c>
      <c r="J370" s="78" cm="1">
        <f t="array" ref="J370">IF(H370&lt;12.5, H370/2,
IF(H370&lt;29, 6.25,
IF(H370&lt;50, 6.5,
IF(H370&lt;79, 6.75,
VALUE(SUBSTITUTE(
INDEX(RESUMO!$J$2:$J$100, MATCH(1,
(D370&gt;=RESUMO!$H$2:$H$100)*(D370&lt;=RESUMO!$I$2:$I$100)*(H370&gt;=RESUMO!$K$2:$K$100)*(H370&lt;=RESUMO!$L$2:$L$100),
0)), "R$ ", ""))
))))</f>
        <v>18.760000000000002</v>
      </c>
      <c r="K370" s="9">
        <v>0</v>
      </c>
      <c r="L370" s="10">
        <f t="shared" si="60"/>
        <v>0.18159999999999998</v>
      </c>
      <c r="M370" s="7"/>
      <c r="N370" s="48"/>
      <c r="O370" s="78" cm="1">
        <f t="array" ref="O370">IF(M370&lt;12.5, 0,
IF(M370&lt;29, 6.25,
IF(M370&lt;50, 6.5,
IF(M370&lt;79, 6.75,
VALUE(SUBSTITUTE(
INDEX(RESUMO!$J$2:$J$100, MATCH(1,
(D370&gt;=RESUMO!$H$2:$H$100)*(D370&lt;=RESUMO!$I$2:$I$100)*(M370&gt;=RESUMO!$K$2:$K$100)*(M370&lt;=RESUMO!$L$2:$L$100),
0)), "R$ ", ""))
))))</f>
        <v>0</v>
      </c>
      <c r="P370" s="9"/>
      <c r="Q370" s="10" t="e">
        <f t="shared" si="61"/>
        <v>#DIV/0!</v>
      </c>
      <c r="R370" s="5">
        <f t="shared" si="62"/>
        <v>107.92359999999999</v>
      </c>
      <c r="S370" s="5">
        <f t="shared" si="63"/>
        <v>26.513599999999997</v>
      </c>
      <c r="T370" s="5">
        <f t="shared" si="64"/>
        <v>-3.2563999999999997</v>
      </c>
      <c r="U370" s="5">
        <f t="shared" si="65"/>
        <v>-84.666399999999996</v>
      </c>
    </row>
    <row r="371" spans="1:21" x14ac:dyDescent="0.25">
      <c r="A371" s="11" t="s">
        <v>33</v>
      </c>
      <c r="B371" s="6" t="s">
        <v>434</v>
      </c>
      <c r="C371" s="9">
        <v>109.91</v>
      </c>
      <c r="D371" s="6">
        <v>2</v>
      </c>
      <c r="E371" s="8">
        <v>0.04</v>
      </c>
      <c r="F371" s="49">
        <v>0</v>
      </c>
      <c r="G371" s="9">
        <v>21</v>
      </c>
      <c r="H371" s="9">
        <v>191</v>
      </c>
      <c r="I371" s="48">
        <v>0.11</v>
      </c>
      <c r="J371" s="78" cm="1">
        <f t="array" ref="J371">IF(H371&lt;12.5, H371/2,
IF(H371&lt;29, 6.25,
IF(H371&lt;50, 6.5,
IF(H371&lt;79, 6.75,
VALUE(SUBSTITUTE(
INDEX(RESUMO!$J$2:$J$100, MATCH(1,
(D371&gt;=RESUMO!$H$2:$H$100)*(D371&lt;=RESUMO!$I$2:$I$100)*(H371&gt;=RESUMO!$K$2:$K$100)*(H371&lt;=RESUMO!$L$2:$L$100),
0)), "R$ ", ""))
))))</f>
        <v>21.1</v>
      </c>
      <c r="K371" s="9">
        <v>0</v>
      </c>
      <c r="L371" s="10">
        <f t="shared" si="60"/>
        <v>0.18106596858638754</v>
      </c>
      <c r="M371" s="7"/>
      <c r="N371" s="48"/>
      <c r="O371" s="78" cm="1">
        <f t="array" ref="O371">IF(M371&lt;12.5, 0,
IF(M371&lt;29, 6.25,
IF(M371&lt;50, 6.5,
IF(M371&lt;79, 6.75,
VALUE(SUBSTITUTE(
INDEX(RESUMO!$J$2:$J$100, MATCH(1,
(D371&gt;=RESUMO!$H$2:$H$100)*(D371&lt;=RESUMO!$I$2:$I$100)*(M371&gt;=RESUMO!$K$2:$K$100)*(M371&lt;=RESUMO!$L$2:$L$100),
0)), "R$ ", ""))
))))</f>
        <v>0</v>
      </c>
      <c r="P371" s="9"/>
      <c r="Q371" s="10" t="e">
        <f t="shared" si="61"/>
        <v>#DIV/0!</v>
      </c>
      <c r="R371" s="5">
        <f t="shared" si="62"/>
        <v>144.49360000000001</v>
      </c>
      <c r="S371" s="5">
        <f t="shared" si="63"/>
        <v>34.583600000000018</v>
      </c>
      <c r="T371" s="5">
        <f t="shared" si="64"/>
        <v>-4.3963999999999999</v>
      </c>
      <c r="U371" s="5">
        <f t="shared" si="65"/>
        <v>-114.3064</v>
      </c>
    </row>
    <row r="372" spans="1:21" x14ac:dyDescent="0.25">
      <c r="A372" s="11" t="s">
        <v>33</v>
      </c>
      <c r="B372" s="6" t="s">
        <v>435</v>
      </c>
      <c r="C372" s="9">
        <v>109.91</v>
      </c>
      <c r="D372" s="6">
        <v>2</v>
      </c>
      <c r="E372" s="8">
        <v>0.04</v>
      </c>
      <c r="F372" s="49">
        <v>0</v>
      </c>
      <c r="G372" s="9">
        <v>12</v>
      </c>
      <c r="H372" s="9">
        <v>191</v>
      </c>
      <c r="I372" s="48">
        <v>0.11</v>
      </c>
      <c r="J372" s="78" cm="1">
        <f t="array" ref="J372">IF(H372&lt;12.5, H372/2,
IF(H372&lt;29, 6.25,
IF(H372&lt;50, 6.5,
IF(H372&lt;79, 6.75,
VALUE(SUBSTITUTE(
INDEX(RESUMO!$J$2:$J$100, MATCH(1,
(D372&gt;=RESUMO!$H$2:$H$100)*(D372&lt;=RESUMO!$I$2:$I$100)*(H372&gt;=RESUMO!$K$2:$K$100)*(H372&lt;=RESUMO!$L$2:$L$100),
0)), "R$ ", ""))
))))</f>
        <v>21.1</v>
      </c>
      <c r="K372" s="9">
        <v>0</v>
      </c>
      <c r="L372" s="10">
        <f t="shared" si="60"/>
        <v>0.18106596858638754</v>
      </c>
      <c r="M372" s="7"/>
      <c r="N372" s="48"/>
      <c r="O372" s="78" cm="1">
        <f t="array" ref="O372">IF(M372&lt;12.5, 0,
IF(M372&lt;29, 6.25,
IF(M372&lt;50, 6.5,
IF(M372&lt;79, 6.75,
VALUE(SUBSTITUTE(
INDEX(RESUMO!$J$2:$J$100, MATCH(1,
(D372&gt;=RESUMO!$H$2:$H$100)*(D372&lt;=RESUMO!$I$2:$I$100)*(M372&gt;=RESUMO!$K$2:$K$100)*(M372&lt;=RESUMO!$L$2:$L$100),
0)), "R$ ", ""))
))))</f>
        <v>0</v>
      </c>
      <c r="P372" s="9"/>
      <c r="Q372" s="10" t="e">
        <f t="shared" si="61"/>
        <v>#DIV/0!</v>
      </c>
      <c r="R372" s="5">
        <f t="shared" si="62"/>
        <v>144.49360000000001</v>
      </c>
      <c r="S372" s="5">
        <f t="shared" si="63"/>
        <v>34.583600000000018</v>
      </c>
      <c r="T372" s="5">
        <f t="shared" si="64"/>
        <v>-4.3963999999999999</v>
      </c>
      <c r="U372" s="5">
        <f t="shared" si="65"/>
        <v>-114.3064</v>
      </c>
    </row>
    <row r="373" spans="1:21" x14ac:dyDescent="0.25">
      <c r="A373" s="11" t="s">
        <v>25</v>
      </c>
      <c r="B373" s="6" t="s">
        <v>436</v>
      </c>
      <c r="C373" s="9">
        <v>85.34</v>
      </c>
      <c r="D373" s="6">
        <v>2</v>
      </c>
      <c r="E373" s="8">
        <v>0.04</v>
      </c>
      <c r="F373" s="49">
        <v>0</v>
      </c>
      <c r="G373" s="9">
        <v>12</v>
      </c>
      <c r="H373" s="9">
        <v>155</v>
      </c>
      <c r="I373" s="48">
        <v>0.11</v>
      </c>
      <c r="J373" s="78" cm="1">
        <f t="array" ref="J373">IF(H373&lt;12.5, H373/2,
IF(H373&lt;29, 6.25,
IF(H373&lt;50, 6.5,
IF(H373&lt;79, 6.75,
VALUE(SUBSTITUTE(
INDEX(RESUMO!$J$2:$J$100, MATCH(1,
(D373&gt;=RESUMO!$H$2:$H$100)*(D373&lt;=RESUMO!$I$2:$I$100)*(H373&gt;=RESUMO!$K$2:$K$100)*(H373&lt;=RESUMO!$L$2:$L$100),
0)), "R$ ", ""))
))))</f>
        <v>21.1</v>
      </c>
      <c r="K373" s="9">
        <v>0</v>
      </c>
      <c r="L373" s="10">
        <f t="shared" si="60"/>
        <v>0.18126709677419348</v>
      </c>
      <c r="M373" s="7"/>
      <c r="N373" s="48"/>
      <c r="O373" s="78" cm="1">
        <f t="array" ref="O373">IF(M373&lt;12.5, 0,
IF(M373&lt;29, 6.25,
IF(M373&lt;50, 6.5,
IF(M373&lt;79, 6.75,
VALUE(SUBSTITUTE(
INDEX(RESUMO!$J$2:$J$100, MATCH(1,
(D373&gt;=RESUMO!$H$2:$H$100)*(D373&lt;=RESUMO!$I$2:$I$100)*(M373&gt;=RESUMO!$K$2:$K$100)*(M373&lt;=RESUMO!$L$2:$L$100),
0)), "R$ ", ""))
))))</f>
        <v>0</v>
      </c>
      <c r="P373" s="9"/>
      <c r="Q373" s="10" t="e">
        <f t="shared" si="61"/>
        <v>#DIV/0!</v>
      </c>
      <c r="R373" s="5">
        <f t="shared" si="62"/>
        <v>113.43639999999999</v>
      </c>
      <c r="S373" s="5">
        <f t="shared" si="63"/>
        <v>28.096399999999988</v>
      </c>
      <c r="T373" s="5">
        <f t="shared" si="64"/>
        <v>-3.4136000000000002</v>
      </c>
      <c r="U373" s="5">
        <f t="shared" si="65"/>
        <v>-88.753600000000006</v>
      </c>
    </row>
    <row r="374" spans="1:21" x14ac:dyDescent="0.25">
      <c r="A374" s="11" t="s">
        <v>25</v>
      </c>
      <c r="B374" s="6" t="s">
        <v>292</v>
      </c>
      <c r="C374" s="9">
        <v>168.12</v>
      </c>
      <c r="D374" s="6">
        <v>5</v>
      </c>
      <c r="E374" s="8">
        <v>0.04</v>
      </c>
      <c r="F374" s="49">
        <v>0</v>
      </c>
      <c r="G374" s="9">
        <v>21</v>
      </c>
      <c r="H374" s="9">
        <v>287</v>
      </c>
      <c r="I374" s="48">
        <v>0.11</v>
      </c>
      <c r="J374" s="78" cm="1">
        <f t="array" ref="J374">IF(H374&lt;12.5, H374/2,
IF(H374&lt;29, 6.25,
IF(H374&lt;50, 6.5,
IF(H374&lt;79, 6.75,
VALUE(SUBSTITUTE(
INDEX(RESUMO!$J$2:$J$100, MATCH(1,
(D374&gt;=RESUMO!$H$2:$H$100)*(D374&lt;=RESUMO!$I$2:$I$100)*(H374&gt;=RESUMO!$K$2:$K$100)*(H374&lt;=RESUMO!$L$2:$L$100),
0)), "R$ ", ""))
))))</f>
        <v>28.45</v>
      </c>
      <c r="K374" s="9">
        <v>0</v>
      </c>
      <c r="L374" s="10">
        <f t="shared" si="60"/>
        <v>0.18165574912891996</v>
      </c>
      <c r="M374" s="7"/>
      <c r="N374" s="48"/>
      <c r="O374" s="78" cm="1">
        <f t="array" ref="O374">IF(M374&lt;12.5, 0,
IF(M374&lt;29, 6.25,
IF(M374&lt;50, 6.5,
IF(M374&lt;79, 6.75,
VALUE(SUBSTITUTE(
INDEX(RESUMO!$J$2:$J$100, MATCH(1,
(D374&gt;=RESUMO!$H$2:$H$100)*(D374&lt;=RESUMO!$I$2:$I$100)*(M374&gt;=RESUMO!$K$2:$K$100)*(M374&lt;=RESUMO!$L$2:$L$100),
0)), "R$ ", ""))
))))</f>
        <v>0</v>
      </c>
      <c r="P374" s="9"/>
      <c r="Q374" s="10" t="e">
        <f t="shared" si="61"/>
        <v>#DIV/0!</v>
      </c>
      <c r="R374" s="5">
        <f t="shared" si="62"/>
        <v>220.25520000000003</v>
      </c>
      <c r="S374" s="5">
        <f t="shared" si="63"/>
        <v>52.135200000000026</v>
      </c>
      <c r="T374" s="5">
        <f t="shared" si="64"/>
        <v>-6.7248000000000001</v>
      </c>
      <c r="U374" s="5">
        <f t="shared" si="65"/>
        <v>-174.84479999999999</v>
      </c>
    </row>
    <row r="375" spans="1:21" x14ac:dyDescent="0.25">
      <c r="A375" s="11" t="s">
        <v>25</v>
      </c>
      <c r="B375" s="6" t="s">
        <v>437</v>
      </c>
      <c r="C375" s="9">
        <v>85.33</v>
      </c>
      <c r="D375" s="6">
        <v>3</v>
      </c>
      <c r="E375" s="8">
        <v>0.04</v>
      </c>
      <c r="F375" s="49">
        <v>0</v>
      </c>
      <c r="G375" s="9">
        <v>12</v>
      </c>
      <c r="H375" s="9">
        <v>157</v>
      </c>
      <c r="I375" s="48">
        <v>0.11</v>
      </c>
      <c r="J375" s="78" cm="1">
        <f t="array" ref="J375">IF(H375&lt;12.5, H375/2,
IF(H375&lt;29, 6.25,
IF(H375&lt;50, 6.5,
IF(H375&lt;79, 6.75,
VALUE(SUBSTITUTE(
INDEX(RESUMO!$J$2:$J$100, MATCH(1,
(D375&gt;=RESUMO!$H$2:$H$100)*(D375&lt;=RESUMO!$I$2:$I$100)*(H375&gt;=RESUMO!$K$2:$K$100)*(H375&lt;=RESUMO!$L$2:$L$100),
0)), "R$ ", ""))
))))</f>
        <v>22.45</v>
      </c>
      <c r="K375" s="9">
        <v>0</v>
      </c>
      <c r="L375" s="10">
        <f t="shared" si="60"/>
        <v>0.18176305732484066</v>
      </c>
      <c r="M375" s="7"/>
      <c r="N375" s="48"/>
      <c r="O375" s="78" cm="1">
        <f t="array" ref="O375">IF(M375&lt;12.5, 0,
IF(M375&lt;29, 6.25,
IF(M375&lt;50, 6.5,
IF(M375&lt;79, 6.75,
VALUE(SUBSTITUTE(
INDEX(RESUMO!$J$2:$J$100, MATCH(1,
(D375&gt;=RESUMO!$H$2:$H$100)*(D375&lt;=RESUMO!$I$2:$I$100)*(M375&gt;=RESUMO!$K$2:$K$100)*(M375&lt;=RESUMO!$L$2:$L$100),
0)), "R$ ", ""))
))))</f>
        <v>0</v>
      </c>
      <c r="P375" s="9"/>
      <c r="Q375" s="10" t="e">
        <f t="shared" si="61"/>
        <v>#DIV/0!</v>
      </c>
      <c r="R375" s="5">
        <f t="shared" si="62"/>
        <v>113.86679999999998</v>
      </c>
      <c r="S375" s="5">
        <f t="shared" si="63"/>
        <v>28.536799999999985</v>
      </c>
      <c r="T375" s="5">
        <f t="shared" si="64"/>
        <v>-3.4131999999999998</v>
      </c>
      <c r="U375" s="5">
        <f t="shared" si="65"/>
        <v>-88.743200000000002</v>
      </c>
    </row>
    <row r="376" spans="1:21" x14ac:dyDescent="0.25">
      <c r="A376" s="11" t="s">
        <v>25</v>
      </c>
      <c r="B376" s="6" t="s">
        <v>438</v>
      </c>
      <c r="C376" s="9">
        <v>104.57</v>
      </c>
      <c r="D376" s="6">
        <v>4</v>
      </c>
      <c r="E376" s="8">
        <v>0.04</v>
      </c>
      <c r="F376" s="49">
        <v>0</v>
      </c>
      <c r="G376" s="9">
        <v>21</v>
      </c>
      <c r="H376" s="9">
        <v>189</v>
      </c>
      <c r="I376" s="48">
        <v>0.11</v>
      </c>
      <c r="J376" s="78" cm="1">
        <f t="array" ref="J376">IF(H376&lt;12.5, H376/2,
IF(H376&lt;29, 6.25,
IF(H376&lt;50, 6.5,
IF(H376&lt;79, 6.75,
VALUE(SUBSTITUTE(
INDEX(RESUMO!$J$2:$J$100, MATCH(1,
(D376&gt;=RESUMO!$H$2:$H$100)*(D376&lt;=RESUMO!$I$2:$I$100)*(H376&gt;=RESUMO!$K$2:$K$100)*(H376&lt;=RESUMO!$L$2:$L$100),
0)), "R$ ", ""))
))))</f>
        <v>24.25</v>
      </c>
      <c r="K376" s="9">
        <v>0</v>
      </c>
      <c r="L376" s="10">
        <f t="shared" si="60"/>
        <v>0.18628148148148163</v>
      </c>
      <c r="M376" s="7"/>
      <c r="N376" s="48"/>
      <c r="O376" s="78" cm="1">
        <f t="array" ref="O376">IF(M376&lt;12.5, 0,
IF(M376&lt;29, 6.25,
IF(M376&lt;50, 6.5,
IF(M376&lt;79, 6.75,
VALUE(SUBSTITUTE(
INDEX(RESUMO!$J$2:$J$100, MATCH(1,
(D376&gt;=RESUMO!$H$2:$H$100)*(D376&lt;=RESUMO!$I$2:$I$100)*(M376&gt;=RESUMO!$K$2:$K$100)*(M376&lt;=RESUMO!$L$2:$L$100),
0)), "R$ ", ""))
))))</f>
        <v>0</v>
      </c>
      <c r="P376" s="9"/>
      <c r="Q376" s="10" t="e">
        <f t="shared" si="61"/>
        <v>#DIV/0!</v>
      </c>
      <c r="R376" s="5">
        <f t="shared" si="62"/>
        <v>139.77720000000002</v>
      </c>
      <c r="S376" s="5">
        <f t="shared" si="63"/>
        <v>35.207200000000029</v>
      </c>
      <c r="T376" s="5">
        <f t="shared" si="64"/>
        <v>-4.1827999999999994</v>
      </c>
      <c r="U376" s="5">
        <f t="shared" si="65"/>
        <v>-108.75279999999999</v>
      </c>
    </row>
    <row r="377" spans="1:21" x14ac:dyDescent="0.25">
      <c r="A377" s="11" t="s">
        <v>33</v>
      </c>
      <c r="B377" s="6" t="s">
        <v>439</v>
      </c>
      <c r="C377" s="9">
        <v>130.29</v>
      </c>
      <c r="D377" s="6">
        <v>3</v>
      </c>
      <c r="E377" s="8">
        <v>0.04</v>
      </c>
      <c r="F377" s="49">
        <v>0</v>
      </c>
      <c r="G377" s="9">
        <v>12</v>
      </c>
      <c r="H377" s="9">
        <v>227</v>
      </c>
      <c r="I377" s="48">
        <v>0.11</v>
      </c>
      <c r="J377" s="78" cm="1">
        <f t="array" ref="J377">IF(H377&lt;12.5, H377/2,
IF(H377&lt;29, 6.25,
IF(H377&lt;50, 6.5,
IF(H377&lt;79, 6.75,
VALUE(SUBSTITUTE(
INDEX(RESUMO!$J$2:$J$100, MATCH(1,
(D377&gt;=RESUMO!$H$2:$H$100)*(D377&lt;=RESUMO!$I$2:$I$100)*(H377&gt;=RESUMO!$K$2:$K$100)*(H377&lt;=RESUMO!$L$2:$L$100),
0)), "R$ ", ""))
))))</f>
        <v>24.95</v>
      </c>
      <c r="K377" s="9">
        <v>0</v>
      </c>
      <c r="L377" s="10">
        <f t="shared" si="60"/>
        <v>0.18316475770925117</v>
      </c>
      <c r="M377" s="7"/>
      <c r="N377" s="48"/>
      <c r="O377" s="78" cm="1">
        <f t="array" ref="O377">IF(M377&lt;12.5, 0,
IF(M377&lt;29, 6.25,
IF(M377&lt;50, 6.5,
IF(M377&lt;79, 6.75,
VALUE(SUBSTITUTE(
INDEX(RESUMO!$J$2:$J$100, MATCH(1,
(D377&gt;=RESUMO!$H$2:$H$100)*(D377&lt;=RESUMO!$I$2:$I$100)*(M377&gt;=RESUMO!$K$2:$K$100)*(M377&lt;=RESUMO!$L$2:$L$100),
0)), "R$ ", ""))
))))</f>
        <v>0</v>
      </c>
      <c r="P377" s="9"/>
      <c r="Q377" s="10" t="e">
        <f t="shared" si="61"/>
        <v>#DIV/0!</v>
      </c>
      <c r="R377" s="5">
        <f t="shared" si="62"/>
        <v>171.86840000000001</v>
      </c>
      <c r="S377" s="5">
        <f t="shared" si="63"/>
        <v>41.578400000000016</v>
      </c>
      <c r="T377" s="5">
        <f t="shared" si="64"/>
        <v>-5.2115999999999998</v>
      </c>
      <c r="U377" s="5">
        <f t="shared" si="65"/>
        <v>-135.5016</v>
      </c>
    </row>
    <row r="378" spans="1:21" x14ac:dyDescent="0.25">
      <c r="A378" s="11" t="s">
        <v>33</v>
      </c>
      <c r="B378" s="6" t="s">
        <v>440</v>
      </c>
      <c r="C378" s="9">
        <v>195.54</v>
      </c>
      <c r="D378" s="6">
        <v>9</v>
      </c>
      <c r="E378" s="8">
        <v>0.04</v>
      </c>
      <c r="F378" s="49">
        <v>0</v>
      </c>
      <c r="G378" s="9">
        <v>12</v>
      </c>
      <c r="H378" s="9">
        <v>349.9</v>
      </c>
      <c r="I378" s="48">
        <v>0.11</v>
      </c>
      <c r="J378" s="78" cm="1">
        <f t="array" ref="J378">IF(H378&lt;12.5, H378/2,
IF(H378&lt;29, 6.25,
IF(H378&lt;50, 6.5,
IF(H378&lt;79, 6.75,
VALUE(SUBSTITUTE(
INDEX(RESUMO!$J$2:$J$100, MATCH(1,
(D378&gt;=RESUMO!$H$2:$H$100)*(D378&lt;=RESUMO!$I$2:$I$100)*(H378&gt;=RESUMO!$K$2:$K$100)*(H378&lt;=RESUMO!$L$2:$L$100),
0)), "R$ ", ""))
))))</f>
        <v>44.45</v>
      </c>
      <c r="K378" s="9">
        <v>0</v>
      </c>
      <c r="L378" s="10">
        <f t="shared" si="60"/>
        <v>0.18176450414404124</v>
      </c>
      <c r="M378" s="7"/>
      <c r="N378" s="48"/>
      <c r="O378" s="78" cm="1">
        <f t="array" ref="O378">IF(M378&lt;12.5, 0,
IF(M378&lt;29, 6.25,
IF(M378&lt;50, 6.5,
IF(M378&lt;79, 6.75,
VALUE(SUBSTITUTE(
INDEX(RESUMO!$J$2:$J$100, MATCH(1,
(D378&gt;=RESUMO!$H$2:$H$100)*(D378&lt;=RESUMO!$I$2:$I$100)*(M378&gt;=RESUMO!$K$2:$K$100)*(M378&lt;=RESUMO!$L$2:$L$100),
0)), "R$ ", ""))
))))</f>
        <v>0</v>
      </c>
      <c r="P378" s="9"/>
      <c r="Q378" s="10" t="e">
        <f t="shared" si="61"/>
        <v>#DIV/0!</v>
      </c>
      <c r="R378" s="5">
        <f t="shared" si="62"/>
        <v>259.13940000000002</v>
      </c>
      <c r="S378" s="5">
        <f t="shared" si="63"/>
        <v>63.599400000000031</v>
      </c>
      <c r="T378" s="5">
        <f t="shared" si="64"/>
        <v>-7.8216000000000001</v>
      </c>
      <c r="U378" s="5">
        <f t="shared" si="65"/>
        <v>-203.36159999999998</v>
      </c>
    </row>
    <row r="379" spans="1:21" x14ac:dyDescent="0.25">
      <c r="A379" s="11" t="s">
        <v>25</v>
      </c>
      <c r="B379" s="6" t="s">
        <v>441</v>
      </c>
      <c r="C379" s="9">
        <v>81.39</v>
      </c>
      <c r="D379" s="6">
        <v>1</v>
      </c>
      <c r="E379" s="8">
        <v>0.04</v>
      </c>
      <c r="F379" s="49">
        <v>0</v>
      </c>
      <c r="G379" s="9">
        <v>21</v>
      </c>
      <c r="H379" s="9">
        <v>145</v>
      </c>
      <c r="I379" s="48">
        <v>0.11</v>
      </c>
      <c r="J379" s="78" cm="1">
        <f t="array" ref="J379">IF(H379&lt;12.5, H379/2,
IF(H379&lt;29, 6.25,
IF(H379&lt;50, 6.5,
IF(H379&lt;79, 6.75,
VALUE(SUBSTITUTE(
INDEX(RESUMO!$J$2:$J$100, MATCH(1,
(D379&gt;=RESUMO!$H$2:$H$100)*(D379&lt;=RESUMO!$I$2:$I$100)*(H379&gt;=RESUMO!$K$2:$K$100)*(H379&lt;=RESUMO!$L$2:$L$100),
0)), "R$ ", ""))
))))</f>
        <v>17.95</v>
      </c>
      <c r="K379" s="9">
        <v>0</v>
      </c>
      <c r="L379" s="10">
        <f t="shared" si="60"/>
        <v>0.18244413793103453</v>
      </c>
      <c r="M379" s="7"/>
      <c r="N379" s="48"/>
      <c r="O379" s="78" cm="1">
        <f t="array" ref="O379">IF(M379&lt;12.5, 0,
IF(M379&lt;29, 6.25,
IF(M379&lt;50, 6.5,
IF(M379&lt;79, 6.75,
VALUE(SUBSTITUTE(
INDEX(RESUMO!$J$2:$J$100, MATCH(1,
(D379&gt;=RESUMO!$H$2:$H$100)*(D379&lt;=RESUMO!$I$2:$I$100)*(M379&gt;=RESUMO!$K$2:$K$100)*(M379&lt;=RESUMO!$L$2:$L$100),
0)), "R$ ", ""))
))))</f>
        <v>0</v>
      </c>
      <c r="P379" s="9"/>
      <c r="Q379" s="10" t="e">
        <f t="shared" si="61"/>
        <v>#DIV/0!</v>
      </c>
      <c r="R379" s="5">
        <f t="shared" si="62"/>
        <v>107.84440000000001</v>
      </c>
      <c r="S379" s="5">
        <f t="shared" si="63"/>
        <v>26.454400000000007</v>
      </c>
      <c r="T379" s="5">
        <f t="shared" si="64"/>
        <v>-3.2556000000000003</v>
      </c>
      <c r="U379" s="5">
        <f t="shared" si="65"/>
        <v>-84.645600000000002</v>
      </c>
    </row>
    <row r="380" spans="1:21" x14ac:dyDescent="0.25">
      <c r="A380" s="11" t="s">
        <v>33</v>
      </c>
      <c r="B380" s="6" t="s">
        <v>442</v>
      </c>
      <c r="C380" s="9">
        <v>112.68</v>
      </c>
      <c r="D380" s="6">
        <v>3</v>
      </c>
      <c r="E380" s="8">
        <v>0.04</v>
      </c>
      <c r="F380" s="49">
        <v>0</v>
      </c>
      <c r="G380" s="9">
        <v>21</v>
      </c>
      <c r="H380" s="9">
        <v>197</v>
      </c>
      <c r="I380" s="48">
        <v>0.11</v>
      </c>
      <c r="J380" s="78" cm="1">
        <f t="array" ref="J380">IF(H380&lt;12.5, H380/2,
IF(H380&lt;29, 6.25,
IF(H380&lt;50, 6.5,
IF(H380&lt;79, 6.75,
VALUE(SUBSTITUTE(
INDEX(RESUMO!$J$2:$J$100, MATCH(1,
(D380&gt;=RESUMO!$H$2:$H$100)*(D380&lt;=RESUMO!$I$2:$I$100)*(H380&gt;=RESUMO!$K$2:$K$100)*(H380&lt;=RESUMO!$L$2:$L$100),
0)), "R$ ", ""))
))))</f>
        <v>22.45</v>
      </c>
      <c r="K380" s="9">
        <v>0</v>
      </c>
      <c r="L380" s="10">
        <f t="shared" si="60"/>
        <v>0.18118172588832476</v>
      </c>
      <c r="M380" s="7"/>
      <c r="N380" s="48"/>
      <c r="O380" s="78" cm="1">
        <f t="array" ref="O380">IF(M380&lt;12.5, 0,
IF(M380&lt;29, 6.25,
IF(M380&lt;50, 6.5,
IF(M380&lt;79, 6.75,
VALUE(SUBSTITUTE(
INDEX(RESUMO!$J$2:$J$100, MATCH(1,
(D380&gt;=RESUMO!$H$2:$H$100)*(D380&lt;=RESUMO!$I$2:$I$100)*(M380&gt;=RESUMO!$K$2:$K$100)*(M380&lt;=RESUMO!$L$2:$L$100),
0)), "R$ ", ""))
))))</f>
        <v>0</v>
      </c>
      <c r="P380" s="9"/>
      <c r="Q380" s="10" t="e">
        <f t="shared" si="61"/>
        <v>#DIV/0!</v>
      </c>
      <c r="R380" s="5">
        <f t="shared" si="62"/>
        <v>148.37279999999998</v>
      </c>
      <c r="S380" s="5">
        <f t="shared" si="63"/>
        <v>35.692799999999977</v>
      </c>
      <c r="T380" s="5">
        <f t="shared" si="64"/>
        <v>-4.5072000000000001</v>
      </c>
      <c r="U380" s="5">
        <f t="shared" si="65"/>
        <v>-117.1872</v>
      </c>
    </row>
    <row r="381" spans="1:21" x14ac:dyDescent="0.25">
      <c r="A381" s="11" t="s">
        <v>25</v>
      </c>
      <c r="B381" s="6" t="s">
        <v>443</v>
      </c>
      <c r="C381" s="9">
        <v>507.35</v>
      </c>
      <c r="D381" s="6">
        <v>17</v>
      </c>
      <c r="E381" s="8">
        <v>0.04</v>
      </c>
      <c r="F381" s="49">
        <v>0</v>
      </c>
      <c r="G381" s="9">
        <v>2</v>
      </c>
      <c r="H381" s="9">
        <v>849</v>
      </c>
      <c r="I381" s="48">
        <v>0.11</v>
      </c>
      <c r="J381" s="78" cm="1">
        <f t="array" ref="J381">IF(H381&lt;12.5, H381/2,
IF(H381&lt;29, 6.25,
IF(H381&lt;50, 6.5,
IF(H381&lt;79, 6.75,
VALUE(SUBSTITUTE(
INDEX(RESUMO!$J$2:$J$100, MATCH(1,
(D381&gt;=RESUMO!$H$2:$H$100)*(D381&lt;=RESUMO!$I$2:$I$100)*(H381&gt;=RESUMO!$K$2:$K$100)*(H381&lt;=RESUMO!$L$2:$L$100),
0)), "R$ ", ""))
))))</f>
        <v>73.45</v>
      </c>
      <c r="K381" s="9">
        <v>0</v>
      </c>
      <c r="L381" s="10">
        <f t="shared" si="60"/>
        <v>0.1819976442873969</v>
      </c>
      <c r="M381" s="7"/>
      <c r="N381" s="48"/>
      <c r="O381" s="78" cm="1">
        <f t="array" ref="O381">IF(M381&lt;12.5, 0,
IF(M381&lt;29, 6.25,
IF(M381&lt;50, 6.5,
IF(M381&lt;79, 6.75,
VALUE(SUBSTITUTE(
INDEX(RESUMO!$J$2:$J$100, MATCH(1,
(D381&gt;=RESUMO!$H$2:$H$100)*(D381&lt;=RESUMO!$I$2:$I$100)*(M381&gt;=RESUMO!$K$2:$K$100)*(M381&lt;=RESUMO!$L$2:$L$100),
0)), "R$ ", ""))
))))</f>
        <v>0</v>
      </c>
      <c r="P381" s="9"/>
      <c r="Q381" s="10" t="e">
        <f t="shared" si="61"/>
        <v>#DIV/0!</v>
      </c>
      <c r="R381" s="5">
        <f t="shared" si="62"/>
        <v>661.86599999999999</v>
      </c>
      <c r="S381" s="5">
        <f t="shared" si="63"/>
        <v>154.51599999999996</v>
      </c>
      <c r="T381" s="5">
        <f t="shared" si="64"/>
        <v>-20.294</v>
      </c>
      <c r="U381" s="5">
        <f t="shared" si="65"/>
        <v>-527.64400000000001</v>
      </c>
    </row>
    <row r="382" spans="1:21" x14ac:dyDescent="0.25">
      <c r="A382" s="11" t="s">
        <v>33</v>
      </c>
      <c r="B382" s="6" t="s">
        <v>444</v>
      </c>
      <c r="C382" s="9">
        <v>443.93</v>
      </c>
      <c r="D382" s="6">
        <v>9</v>
      </c>
      <c r="E382" s="8">
        <v>0.04</v>
      </c>
      <c r="F382" s="49">
        <v>0</v>
      </c>
      <c r="G382" s="9">
        <v>21</v>
      </c>
      <c r="H382" s="9">
        <v>715</v>
      </c>
      <c r="I382" s="48">
        <v>0.11</v>
      </c>
      <c r="J382" s="78" cm="1">
        <f t="array" ref="J382">IF(H382&lt;12.5, H382/2,
IF(H382&lt;29, 6.25,
IF(H382&lt;50, 6.5,
IF(H382&lt;79, 6.75,
VALUE(SUBSTITUTE(
INDEX(RESUMO!$J$2:$J$100, MATCH(1,
(D382&gt;=RESUMO!$H$2:$H$100)*(D382&lt;=RESUMO!$I$2:$I$100)*(H382&gt;=RESUMO!$K$2:$K$100)*(H382&lt;=RESUMO!$L$2:$L$100),
0)), "R$ ", ""))
))))</f>
        <v>44.45</v>
      </c>
      <c r="K382" s="9">
        <v>0</v>
      </c>
      <c r="L382" s="10">
        <f t="shared" si="60"/>
        <v>0.18211580419580414</v>
      </c>
      <c r="M382" s="7"/>
      <c r="N382" s="48"/>
      <c r="O382" s="78" cm="1">
        <f t="array" ref="O382">IF(M382&lt;12.5, 0,
IF(M382&lt;29, 6.25,
IF(M382&lt;50, 6.5,
IF(M382&lt;79, 6.75,
VALUE(SUBSTITUTE(
INDEX(RESUMO!$J$2:$J$100, MATCH(1,
(D382&gt;=RESUMO!$H$2:$H$100)*(D382&lt;=RESUMO!$I$2:$I$100)*(M382&gt;=RESUMO!$K$2:$K$100)*(M382&lt;=RESUMO!$L$2:$L$100),
0)), "R$ ", ""))
))))</f>
        <v>0</v>
      </c>
      <c r="P382" s="9"/>
      <c r="Q382" s="10" t="e">
        <f t="shared" si="61"/>
        <v>#DIV/0!</v>
      </c>
      <c r="R382" s="5">
        <f t="shared" si="62"/>
        <v>574.14279999999997</v>
      </c>
      <c r="S382" s="5">
        <f t="shared" si="63"/>
        <v>130.21279999999996</v>
      </c>
      <c r="T382" s="5">
        <f t="shared" si="64"/>
        <v>-17.757200000000001</v>
      </c>
      <c r="U382" s="5">
        <f t="shared" si="65"/>
        <v>-461.68720000000002</v>
      </c>
    </row>
    <row r="383" spans="1:21" x14ac:dyDescent="0.25">
      <c r="A383" s="11" t="s">
        <v>33</v>
      </c>
      <c r="B383" s="6" t="s">
        <v>98</v>
      </c>
      <c r="C383" s="9">
        <v>490.21</v>
      </c>
      <c r="D383" s="6">
        <v>5</v>
      </c>
      <c r="E383" s="8">
        <v>0.04</v>
      </c>
      <c r="F383" s="49">
        <v>0</v>
      </c>
      <c r="G383" s="9">
        <v>2</v>
      </c>
      <c r="H383" s="9">
        <v>549</v>
      </c>
      <c r="I383" s="48">
        <v>0.11</v>
      </c>
      <c r="J383" s="78" cm="1">
        <f t="array" ref="J383">IF(H383&lt;12.5, H383/2,
IF(H383&lt;29, 6.25,
IF(H383&lt;50, 6.5,
IF(H383&lt;79, 6.75,
VALUE(SUBSTITUTE(
INDEX(RESUMO!$J$2:$J$100, MATCH(1,
(D383&gt;=RESUMO!$H$2:$H$100)*(D383&lt;=RESUMO!$I$2:$I$100)*(H383&gt;=RESUMO!$K$2:$K$100)*(H383&lt;=RESUMO!$L$2:$L$100),
0)), "R$ ", ""))
))))</f>
        <v>28.45</v>
      </c>
      <c r="K383" s="78">
        <v>0</v>
      </c>
      <c r="L383" s="10">
        <f t="shared" ref="L383:L414" si="66">S383/H383</f>
        <v>-9.0452459016393386E-2</v>
      </c>
      <c r="M383" s="7">
        <v>579.9</v>
      </c>
      <c r="N383" s="48">
        <v>0.16</v>
      </c>
      <c r="O383" s="78" cm="1">
        <f t="array" ref="O383">IF(M383&lt;12.5, 0,
IF(M383&lt;29, 6.25,
IF(M383&lt;50, 6.5,
IF(M383&lt;79, 6.75,
VALUE(SUBSTITUTE(
INDEX(RESUMO!$J$2:$J$100, MATCH(1,
(D383&gt;=RESUMO!$H$2:$H$100)*(D383&lt;=RESUMO!$I$2:$I$100)*(M383&gt;=RESUMO!$K$2:$K$100)*(M383&lt;=RESUMO!$L$2:$L$100),
0)), "R$ ", ""))
))))</f>
        <v>28.45</v>
      </c>
      <c r="P383" s="9">
        <v>0</v>
      </c>
      <c r="Q383" s="10">
        <f t="shared" ref="Q383:Q414" si="67">U383/M383</f>
        <v>-8.8209001551991725E-2</v>
      </c>
      <c r="R383" s="5">
        <f t="shared" ref="R383:R414" si="68">(H383-(H383*I383)-J383-(C383*E383)+K383)</f>
        <v>440.55160000000001</v>
      </c>
      <c r="S383" s="5">
        <f t="shared" ref="S383:S414" si="69">R383-(C383-F383)</f>
        <v>-49.658399999999972</v>
      </c>
      <c r="T383" s="5">
        <f t="shared" ref="T383:T414" si="70">(M383-(M383*N383)-O383-(C383*E383)+P383)</f>
        <v>439.05759999999998</v>
      </c>
      <c r="U383" s="5">
        <f t="shared" ref="U383:U414" si="71">T383-(C383-F383)</f>
        <v>-51.1524</v>
      </c>
    </row>
    <row r="384" spans="1:21" x14ac:dyDescent="0.25">
      <c r="A384" s="11" t="s">
        <v>25</v>
      </c>
      <c r="B384" s="6" t="s">
        <v>445</v>
      </c>
      <c r="C384" s="9">
        <v>43.19</v>
      </c>
      <c r="D384" s="6">
        <v>1</v>
      </c>
      <c r="E384" s="8">
        <v>0.04</v>
      </c>
      <c r="F384" s="49">
        <v>0</v>
      </c>
      <c r="G384" s="9">
        <v>12</v>
      </c>
      <c r="H384" s="9">
        <v>73</v>
      </c>
      <c r="I384" s="48">
        <v>0.11</v>
      </c>
      <c r="J384" s="78" cm="1">
        <f t="array" ref="J384">IF(H384&lt;12.5, H384/2,
IF(H384&lt;29, 6.25,
IF(H384&lt;50, 6.5,
IF(H384&lt;79, 6.75,
VALUE(SUBSTITUTE(
INDEX(RESUMO!$J$2:$J$100, MATCH(1,
(D384&gt;=RESUMO!$H$2:$H$100)*(D384&lt;=RESUMO!$I$2:$I$100)*(H384&gt;=RESUMO!$K$2:$K$100)*(H384&lt;=RESUMO!$L$2:$L$100),
0)), "R$ ", ""))
))))</f>
        <v>6.75</v>
      </c>
      <c r="K384" s="9">
        <v>0</v>
      </c>
      <c r="L384" s="10">
        <f t="shared" si="66"/>
        <v>0.18222465753424655</v>
      </c>
      <c r="M384" s="7"/>
      <c r="N384" s="48"/>
      <c r="O384" s="78" cm="1">
        <f t="array" ref="O384">IF(M384&lt;12.5, 0,
IF(M384&lt;29, 6.25,
IF(M384&lt;50, 6.5,
IF(M384&lt;79, 6.75,
VALUE(SUBSTITUTE(
INDEX(RESUMO!$J$2:$J$100, MATCH(1,
(D384&gt;=RESUMO!$H$2:$H$100)*(D384&lt;=RESUMO!$I$2:$I$100)*(M384&gt;=RESUMO!$K$2:$K$100)*(M384&lt;=RESUMO!$L$2:$L$100),
0)), "R$ ", ""))
))))</f>
        <v>0</v>
      </c>
      <c r="P384" s="9"/>
      <c r="Q384" s="10" t="e">
        <f t="shared" si="67"/>
        <v>#DIV/0!</v>
      </c>
      <c r="R384" s="5">
        <f t="shared" si="68"/>
        <v>56.492399999999996</v>
      </c>
      <c r="S384" s="5">
        <f t="shared" si="69"/>
        <v>13.302399999999999</v>
      </c>
      <c r="T384" s="5">
        <f t="shared" si="70"/>
        <v>-1.7276</v>
      </c>
      <c r="U384" s="5">
        <f t="shared" si="71"/>
        <v>-44.9176</v>
      </c>
    </row>
    <row r="385" spans="1:21" x14ac:dyDescent="0.25">
      <c r="A385" s="11" t="s">
        <v>25</v>
      </c>
      <c r="B385" s="6" t="s">
        <v>446</v>
      </c>
      <c r="C385" s="9">
        <v>89.44</v>
      </c>
      <c r="D385" s="6">
        <v>4</v>
      </c>
      <c r="E385" s="8">
        <v>0.04</v>
      </c>
      <c r="F385" s="49">
        <v>0</v>
      </c>
      <c r="G385" s="9">
        <v>21</v>
      </c>
      <c r="H385" s="9">
        <v>166</v>
      </c>
      <c r="I385" s="48">
        <v>0.11</v>
      </c>
      <c r="J385" s="78" cm="1">
        <f t="array" ref="J385">IF(H385&lt;12.5, H385/2,
IF(H385&lt;29, 6.25,
IF(H385&lt;50, 6.5,
IF(H385&lt;79, 6.75,
VALUE(SUBSTITUTE(
INDEX(RESUMO!$J$2:$J$100, MATCH(1,
(D385&gt;=RESUMO!$H$2:$H$100)*(D385&lt;=RESUMO!$I$2:$I$100)*(H385&gt;=RESUMO!$K$2:$K$100)*(H385&lt;=RESUMO!$L$2:$L$100),
0)), "R$ ", ""))
))))</f>
        <v>24.25</v>
      </c>
      <c r="K385" s="9">
        <v>0</v>
      </c>
      <c r="L385" s="10">
        <f t="shared" si="66"/>
        <v>0.18356867469879523</v>
      </c>
      <c r="M385" s="7"/>
      <c r="N385" s="48"/>
      <c r="O385" s="78" cm="1">
        <f t="array" ref="O385">IF(M385&lt;12.5, 0,
IF(M385&lt;29, 6.25,
IF(M385&lt;50, 6.5,
IF(M385&lt;79, 6.75,
VALUE(SUBSTITUTE(
INDEX(RESUMO!$J$2:$J$100, MATCH(1,
(D385&gt;=RESUMO!$H$2:$H$100)*(D385&lt;=RESUMO!$I$2:$I$100)*(M385&gt;=RESUMO!$K$2:$K$100)*(M385&lt;=RESUMO!$L$2:$L$100),
0)), "R$ ", ""))
))))</f>
        <v>0</v>
      </c>
      <c r="P385" s="9"/>
      <c r="Q385" s="10" t="e">
        <f t="shared" si="67"/>
        <v>#DIV/0!</v>
      </c>
      <c r="R385" s="5">
        <f t="shared" si="68"/>
        <v>119.91240000000001</v>
      </c>
      <c r="S385" s="5">
        <f t="shared" si="69"/>
        <v>30.472400000000007</v>
      </c>
      <c r="T385" s="5">
        <f t="shared" si="70"/>
        <v>-3.5775999999999999</v>
      </c>
      <c r="U385" s="5">
        <f t="shared" si="71"/>
        <v>-93.017600000000002</v>
      </c>
    </row>
    <row r="386" spans="1:21" x14ac:dyDescent="0.25">
      <c r="A386" s="11" t="s">
        <v>33</v>
      </c>
      <c r="B386" s="6" t="s">
        <v>447</v>
      </c>
      <c r="C386" s="9">
        <v>195.22</v>
      </c>
      <c r="D386" s="6">
        <v>9</v>
      </c>
      <c r="E386" s="8">
        <v>0.04</v>
      </c>
      <c r="F386" s="49">
        <v>0</v>
      </c>
      <c r="G386" s="9">
        <v>12</v>
      </c>
      <c r="H386" s="9">
        <v>425</v>
      </c>
      <c r="I386" s="48">
        <v>0.11</v>
      </c>
      <c r="J386" s="78" cm="1">
        <f t="array" ref="J386">IF(H386&lt;12.5, H386/2,
IF(H386&lt;29, 6.25,
IF(H386&lt;50, 6.5,
IF(H386&lt;79, 6.75,
VALUE(SUBSTITUTE(
INDEX(RESUMO!$J$2:$J$100, MATCH(1,
(D386&gt;=RESUMO!$H$2:$H$100)*(D386&lt;=RESUMO!$I$2:$I$100)*(H386&gt;=RESUMO!$K$2:$K$100)*(H386&lt;=RESUMO!$L$2:$L$100),
0)), "R$ ", ""))
))))</f>
        <v>44.45</v>
      </c>
      <c r="K386" s="9">
        <v>0</v>
      </c>
      <c r="L386" s="10">
        <f t="shared" si="66"/>
        <v>0.30769694117647056</v>
      </c>
      <c r="M386" s="7"/>
      <c r="N386" s="48"/>
      <c r="O386" s="78" cm="1">
        <f t="array" ref="O386">IF(M386&lt;12.5, 0,
IF(M386&lt;29, 6.25,
IF(M386&lt;50, 6.5,
IF(M386&lt;79, 6.75,
VALUE(SUBSTITUTE(
INDEX(RESUMO!$J$2:$J$100, MATCH(1,
(D386&gt;=RESUMO!$H$2:$H$100)*(D386&lt;=RESUMO!$I$2:$I$100)*(M386&gt;=RESUMO!$K$2:$K$100)*(M386&lt;=RESUMO!$L$2:$L$100),
0)), "R$ ", ""))
))))</f>
        <v>0</v>
      </c>
      <c r="P386" s="9"/>
      <c r="Q386" s="10" t="e">
        <f t="shared" si="67"/>
        <v>#DIV/0!</v>
      </c>
      <c r="R386" s="5">
        <f t="shared" si="68"/>
        <v>325.99119999999999</v>
      </c>
      <c r="S386" s="5">
        <f t="shared" si="69"/>
        <v>130.77119999999999</v>
      </c>
      <c r="T386" s="5">
        <f t="shared" si="70"/>
        <v>-7.8087999999999997</v>
      </c>
      <c r="U386" s="5">
        <f t="shared" si="71"/>
        <v>-203.02879999999999</v>
      </c>
    </row>
    <row r="387" spans="1:21" x14ac:dyDescent="0.25">
      <c r="A387" s="11" t="s">
        <v>25</v>
      </c>
      <c r="B387" s="6" t="s">
        <v>448</v>
      </c>
      <c r="C387" s="9">
        <v>181.34</v>
      </c>
      <c r="D387" s="6">
        <v>9</v>
      </c>
      <c r="E387" s="8">
        <v>0.04</v>
      </c>
      <c r="F387" s="49">
        <v>0</v>
      </c>
      <c r="G387" s="9">
        <v>21</v>
      </c>
      <c r="H387" s="9">
        <v>379.9</v>
      </c>
      <c r="I387" s="48">
        <v>0.11</v>
      </c>
      <c r="J387" s="78" cm="1">
        <f t="array" ref="J387">IF(H387&lt;12.5, H387/2,
IF(H387&lt;29, 6.25,
IF(H387&lt;50, 6.5,
IF(H387&lt;79, 6.75,
VALUE(SUBSTITUTE(
INDEX(RESUMO!$J$2:$J$100, MATCH(1,
(D387&gt;=RESUMO!$H$2:$H$100)*(D387&lt;=RESUMO!$I$2:$I$100)*(H387&gt;=RESUMO!$K$2:$K$100)*(H387&lt;=RESUMO!$L$2:$L$100),
0)), "R$ ", ""))
))))</f>
        <v>44.45</v>
      </c>
      <c r="K387" s="9">
        <v>0</v>
      </c>
      <c r="L387" s="10">
        <f t="shared" si="66"/>
        <v>0.27656593840484339</v>
      </c>
      <c r="M387" s="7"/>
      <c r="N387" s="48"/>
      <c r="O387" s="78" cm="1">
        <f t="array" ref="O387">IF(M387&lt;12.5, 0,
IF(M387&lt;29, 6.25,
IF(M387&lt;50, 6.5,
IF(M387&lt;79, 6.75,
VALUE(SUBSTITUTE(
INDEX(RESUMO!$J$2:$J$100, MATCH(1,
(D387&gt;=RESUMO!$H$2:$H$100)*(D387&lt;=RESUMO!$I$2:$I$100)*(M387&gt;=RESUMO!$K$2:$K$100)*(M387&lt;=RESUMO!$L$2:$L$100),
0)), "R$ ", ""))
))))</f>
        <v>0</v>
      </c>
      <c r="P387" s="9"/>
      <c r="Q387" s="10" t="e">
        <f t="shared" si="67"/>
        <v>#DIV/0!</v>
      </c>
      <c r="R387" s="5">
        <f t="shared" si="68"/>
        <v>286.4074</v>
      </c>
      <c r="S387" s="5">
        <f t="shared" si="69"/>
        <v>105.06739999999999</v>
      </c>
      <c r="T387" s="5">
        <f t="shared" si="70"/>
        <v>-7.2536000000000005</v>
      </c>
      <c r="U387" s="5">
        <f t="shared" si="71"/>
        <v>-188.59360000000001</v>
      </c>
    </row>
    <row r="388" spans="1:21" x14ac:dyDescent="0.25">
      <c r="A388" s="11" t="s">
        <v>25</v>
      </c>
      <c r="B388" s="6" t="s">
        <v>449</v>
      </c>
      <c r="C388" s="9">
        <v>181.34</v>
      </c>
      <c r="D388" s="6">
        <v>9</v>
      </c>
      <c r="E388" s="8">
        <v>0.04</v>
      </c>
      <c r="F388" s="49">
        <v>0</v>
      </c>
      <c r="G388" s="9">
        <v>12</v>
      </c>
      <c r="H388" s="9">
        <v>379.9</v>
      </c>
      <c r="I388" s="48">
        <v>0.11</v>
      </c>
      <c r="J388" s="78" cm="1">
        <f t="array" ref="J388">IF(H388&lt;12.5, H388/2,
IF(H388&lt;29, 6.25,
IF(H388&lt;50, 6.5,
IF(H388&lt;79, 6.75,
VALUE(SUBSTITUTE(
INDEX(RESUMO!$J$2:$J$100, MATCH(1,
(D388&gt;=RESUMO!$H$2:$H$100)*(D388&lt;=RESUMO!$I$2:$I$100)*(H388&gt;=RESUMO!$K$2:$K$100)*(H388&lt;=RESUMO!$L$2:$L$100),
0)), "R$ ", ""))
))))</f>
        <v>44.45</v>
      </c>
      <c r="K388" s="9">
        <v>0</v>
      </c>
      <c r="L388" s="10">
        <f t="shared" si="66"/>
        <v>0.27656593840484339</v>
      </c>
      <c r="M388" s="7"/>
      <c r="N388" s="48"/>
      <c r="O388" s="78" cm="1">
        <f t="array" ref="O388">IF(M388&lt;12.5, 0,
IF(M388&lt;29, 6.25,
IF(M388&lt;50, 6.5,
IF(M388&lt;79, 6.75,
VALUE(SUBSTITUTE(
INDEX(RESUMO!$J$2:$J$100, MATCH(1,
(D388&gt;=RESUMO!$H$2:$H$100)*(D388&lt;=RESUMO!$I$2:$I$100)*(M388&gt;=RESUMO!$K$2:$K$100)*(M388&lt;=RESUMO!$L$2:$L$100),
0)), "R$ ", ""))
))))</f>
        <v>0</v>
      </c>
      <c r="P388" s="9"/>
      <c r="Q388" s="10" t="e">
        <f t="shared" si="67"/>
        <v>#DIV/0!</v>
      </c>
      <c r="R388" s="5">
        <f t="shared" si="68"/>
        <v>286.4074</v>
      </c>
      <c r="S388" s="5">
        <f t="shared" si="69"/>
        <v>105.06739999999999</v>
      </c>
      <c r="T388" s="5">
        <f t="shared" si="70"/>
        <v>-7.2536000000000005</v>
      </c>
      <c r="U388" s="5">
        <f t="shared" si="71"/>
        <v>-188.59360000000001</v>
      </c>
    </row>
    <row r="389" spans="1:21" x14ac:dyDescent="0.25">
      <c r="A389" s="11" t="s">
        <v>33</v>
      </c>
      <c r="B389" s="6" t="s">
        <v>450</v>
      </c>
      <c r="C389" s="9">
        <v>204.73</v>
      </c>
      <c r="D389" s="6">
        <v>9</v>
      </c>
      <c r="E389" s="8">
        <v>0.04</v>
      </c>
      <c r="F389" s="49">
        <v>0</v>
      </c>
      <c r="G389" s="9">
        <v>2</v>
      </c>
      <c r="H389" s="9">
        <v>375</v>
      </c>
      <c r="I389" s="48">
        <v>0.11</v>
      </c>
      <c r="J389" s="78" cm="1">
        <f t="array" ref="J389">IF(H389&lt;12.5, H389/2,
IF(H389&lt;29, 6.25,
IF(H389&lt;50, 6.5,
IF(H389&lt;79, 6.75,
VALUE(SUBSTITUTE(
INDEX(RESUMO!$J$2:$J$100, MATCH(1,
(D389&gt;=RESUMO!$H$2:$H$100)*(D389&lt;=RESUMO!$I$2:$I$100)*(H389&gt;=RESUMO!$K$2:$K$100)*(H389&lt;=RESUMO!$L$2:$L$100),
0)), "R$ ", ""))
))))</f>
        <v>44.45</v>
      </c>
      <c r="K389" s="9">
        <v>0</v>
      </c>
      <c r="L389" s="10">
        <f t="shared" si="66"/>
        <v>0.20368213333333346</v>
      </c>
      <c r="M389" s="7"/>
      <c r="N389" s="48"/>
      <c r="O389" s="78" cm="1">
        <f t="array" ref="O389">IF(M389&lt;12.5, 0,
IF(M389&lt;29, 6.25,
IF(M389&lt;50, 6.5,
IF(M389&lt;79, 6.75,
VALUE(SUBSTITUTE(
INDEX(RESUMO!$J$2:$J$100, MATCH(1,
(D389&gt;=RESUMO!$H$2:$H$100)*(D389&lt;=RESUMO!$I$2:$I$100)*(M389&gt;=RESUMO!$K$2:$K$100)*(M389&lt;=RESUMO!$L$2:$L$100),
0)), "R$ ", ""))
))))</f>
        <v>0</v>
      </c>
      <c r="P389" s="9"/>
      <c r="Q389" s="10" t="e">
        <f t="shared" si="67"/>
        <v>#DIV/0!</v>
      </c>
      <c r="R389" s="5">
        <f t="shared" si="68"/>
        <v>281.11080000000004</v>
      </c>
      <c r="S389" s="5">
        <f t="shared" si="69"/>
        <v>76.38080000000005</v>
      </c>
      <c r="T389" s="5">
        <f t="shared" si="70"/>
        <v>-8.1891999999999996</v>
      </c>
      <c r="U389" s="5">
        <f t="shared" si="71"/>
        <v>-212.91919999999999</v>
      </c>
    </row>
    <row r="390" spans="1:21" x14ac:dyDescent="0.25">
      <c r="A390" s="11" t="s">
        <v>25</v>
      </c>
      <c r="B390" s="6" t="s">
        <v>451</v>
      </c>
      <c r="C390" s="9">
        <v>242</v>
      </c>
      <c r="D390" s="6">
        <v>17</v>
      </c>
      <c r="E390" s="8">
        <v>0.04</v>
      </c>
      <c r="F390" s="49">
        <v>0</v>
      </c>
      <c r="G390" s="9">
        <v>2</v>
      </c>
      <c r="H390" s="9">
        <v>465</v>
      </c>
      <c r="I390" s="48">
        <v>0.11</v>
      </c>
      <c r="J390" s="78" cm="1">
        <f t="array" ref="J390">IF(H390&lt;12.5, H390/2,
IF(H390&lt;29, 6.25,
IF(H390&lt;50, 6.5,
IF(H390&lt;79, 6.75,
VALUE(SUBSTITUTE(
INDEX(RESUMO!$J$2:$J$100, MATCH(1,
(D390&gt;=RESUMO!$H$2:$H$100)*(D390&lt;=RESUMO!$I$2:$I$100)*(H390&gt;=RESUMO!$K$2:$K$100)*(H390&lt;=RESUMO!$L$2:$L$100),
0)), "R$ ", ""))
))))</f>
        <v>73.45</v>
      </c>
      <c r="K390" s="9">
        <v>0</v>
      </c>
      <c r="L390" s="10">
        <f t="shared" si="66"/>
        <v>0.19079569892473125</v>
      </c>
      <c r="M390" s="7"/>
      <c r="N390" s="48"/>
      <c r="O390" s="78" cm="1">
        <f t="array" ref="O390">IF(M390&lt;12.5, 0,
IF(M390&lt;29, 6.25,
IF(M390&lt;50, 6.5,
IF(M390&lt;79, 6.75,
VALUE(SUBSTITUTE(
INDEX(RESUMO!$J$2:$J$100, MATCH(1,
(D390&gt;=RESUMO!$H$2:$H$100)*(D390&lt;=RESUMO!$I$2:$I$100)*(M390&gt;=RESUMO!$K$2:$K$100)*(M390&lt;=RESUMO!$L$2:$L$100),
0)), "R$ ", ""))
))))</f>
        <v>0</v>
      </c>
      <c r="P390" s="9"/>
      <c r="Q390" s="10" t="e">
        <f t="shared" si="67"/>
        <v>#DIV/0!</v>
      </c>
      <c r="R390" s="5">
        <f t="shared" si="68"/>
        <v>330.72</v>
      </c>
      <c r="S390" s="5">
        <f t="shared" si="69"/>
        <v>88.720000000000027</v>
      </c>
      <c r="T390" s="5">
        <f t="shared" si="70"/>
        <v>-9.68</v>
      </c>
      <c r="U390" s="5">
        <f t="shared" si="71"/>
        <v>-251.68</v>
      </c>
    </row>
    <row r="391" spans="1:21" x14ac:dyDescent="0.25">
      <c r="A391" s="11" t="s">
        <v>25</v>
      </c>
      <c r="B391" s="6" t="s">
        <v>452</v>
      </c>
      <c r="C391" s="9">
        <v>242</v>
      </c>
      <c r="D391" s="6">
        <v>17</v>
      </c>
      <c r="E391" s="8">
        <v>0.04</v>
      </c>
      <c r="F391" s="49">
        <v>0</v>
      </c>
      <c r="G391" s="9">
        <v>2</v>
      </c>
      <c r="H391" s="9">
        <v>465</v>
      </c>
      <c r="I391" s="48">
        <v>0.11</v>
      </c>
      <c r="J391" s="78" cm="1">
        <f t="array" ref="J391">IF(H391&lt;12.5, H391/2,
IF(H391&lt;29, 6.25,
IF(H391&lt;50, 6.5,
IF(H391&lt;79, 6.75,
VALUE(SUBSTITUTE(
INDEX(RESUMO!$J$2:$J$100, MATCH(1,
(D391&gt;=RESUMO!$H$2:$H$100)*(D391&lt;=RESUMO!$I$2:$I$100)*(H391&gt;=RESUMO!$K$2:$K$100)*(H391&lt;=RESUMO!$L$2:$L$100),
0)), "R$ ", ""))
))))</f>
        <v>73.45</v>
      </c>
      <c r="K391" s="9">
        <v>0</v>
      </c>
      <c r="L391" s="10">
        <f t="shared" si="66"/>
        <v>0.19079569892473125</v>
      </c>
      <c r="M391" s="7"/>
      <c r="N391" s="48"/>
      <c r="O391" s="78" cm="1">
        <f t="array" ref="O391">IF(M391&lt;12.5, 0,
IF(M391&lt;29, 6.25,
IF(M391&lt;50, 6.5,
IF(M391&lt;79, 6.75,
VALUE(SUBSTITUTE(
INDEX(RESUMO!$J$2:$J$100, MATCH(1,
(D391&gt;=RESUMO!$H$2:$H$100)*(D391&lt;=RESUMO!$I$2:$I$100)*(M391&gt;=RESUMO!$K$2:$K$100)*(M391&lt;=RESUMO!$L$2:$L$100),
0)), "R$ ", ""))
))))</f>
        <v>0</v>
      </c>
      <c r="P391" s="9"/>
      <c r="Q391" s="10" t="e">
        <f t="shared" si="67"/>
        <v>#DIV/0!</v>
      </c>
      <c r="R391" s="5">
        <f t="shared" si="68"/>
        <v>330.72</v>
      </c>
      <c r="S391" s="5">
        <f t="shared" si="69"/>
        <v>88.720000000000027</v>
      </c>
      <c r="T391" s="5">
        <f t="shared" si="70"/>
        <v>-9.68</v>
      </c>
      <c r="U391" s="5">
        <f t="shared" si="71"/>
        <v>-251.68</v>
      </c>
    </row>
    <row r="392" spans="1:21" x14ac:dyDescent="0.25">
      <c r="A392" s="11" t="s">
        <v>33</v>
      </c>
      <c r="B392" s="6" t="s">
        <v>453</v>
      </c>
      <c r="C392" s="9">
        <v>225</v>
      </c>
      <c r="D392" s="6">
        <v>9</v>
      </c>
      <c r="E392" s="8">
        <v>0.04</v>
      </c>
      <c r="F392" s="49">
        <v>0</v>
      </c>
      <c r="G392" s="9">
        <v>2</v>
      </c>
      <c r="H392" s="9">
        <v>399.9</v>
      </c>
      <c r="I392" s="48">
        <v>0.11</v>
      </c>
      <c r="J392" s="78" cm="1">
        <f t="array" ref="J392">IF(H392&lt;12.5, H392/2,
IF(H392&lt;29, 6.25,
IF(H392&lt;50, 6.5,
IF(H392&lt;79, 6.75,
VALUE(SUBSTITUTE(
INDEX(RESUMO!$J$2:$J$100, MATCH(1,
(D392&gt;=RESUMO!$H$2:$H$100)*(D392&lt;=RESUMO!$I$2:$I$100)*(H392&gt;=RESUMO!$K$2:$K$100)*(H392&lt;=RESUMO!$L$2:$L$100),
0)), "R$ ", ""))
))))</f>
        <v>44.45</v>
      </c>
      <c r="K392" s="9">
        <v>0</v>
      </c>
      <c r="L392" s="10">
        <f t="shared" si="66"/>
        <v>0.19370092523130786</v>
      </c>
      <c r="M392" s="7"/>
      <c r="N392" s="48"/>
      <c r="O392" s="78" cm="1">
        <f t="array" ref="O392">IF(M392&lt;12.5, 0,
IF(M392&lt;29, 6.25,
IF(M392&lt;50, 6.5,
IF(M392&lt;79, 6.75,
VALUE(SUBSTITUTE(
INDEX(RESUMO!$J$2:$J$100, MATCH(1,
(D392&gt;=RESUMO!$H$2:$H$100)*(D392&lt;=RESUMO!$I$2:$I$100)*(M392&gt;=RESUMO!$K$2:$K$100)*(M392&lt;=RESUMO!$L$2:$L$100),
0)), "R$ ", ""))
))))</f>
        <v>0</v>
      </c>
      <c r="P392" s="9"/>
      <c r="Q392" s="10" t="e">
        <f t="shared" si="67"/>
        <v>#DIV/0!</v>
      </c>
      <c r="R392" s="5">
        <f t="shared" si="68"/>
        <v>302.46100000000001</v>
      </c>
      <c r="S392" s="5">
        <f t="shared" si="69"/>
        <v>77.461000000000013</v>
      </c>
      <c r="T392" s="5">
        <f t="shared" si="70"/>
        <v>-9</v>
      </c>
      <c r="U392" s="5">
        <f t="shared" si="71"/>
        <v>-234</v>
      </c>
    </row>
    <row r="393" spans="1:21" x14ac:dyDescent="0.25">
      <c r="A393" s="11" t="s">
        <v>33</v>
      </c>
      <c r="B393" s="6" t="s">
        <v>454</v>
      </c>
      <c r="C393" s="9">
        <v>375.67</v>
      </c>
      <c r="D393" s="6">
        <v>5</v>
      </c>
      <c r="E393" s="8">
        <v>0.04</v>
      </c>
      <c r="F393" s="49">
        <v>0</v>
      </c>
      <c r="G393" s="9">
        <v>2</v>
      </c>
      <c r="H393" s="9">
        <v>599</v>
      </c>
      <c r="I393" s="48">
        <v>0.11</v>
      </c>
      <c r="J393" s="78" cm="1">
        <f t="array" ref="J393">IF(H393&lt;12.5, H393/2,
IF(H393&lt;29, 6.25,
IF(H393&lt;50, 6.5,
IF(H393&lt;79, 6.75,
VALUE(SUBSTITUTE(
INDEX(RESUMO!$J$2:$J$100, MATCH(1,
(D393&gt;=RESUMO!$H$2:$H$100)*(D393&lt;=RESUMO!$I$2:$I$100)*(H393&gt;=RESUMO!$K$2:$K$100)*(H393&lt;=RESUMO!$L$2:$L$100),
0)), "R$ ", ""))
))))</f>
        <v>28.45</v>
      </c>
      <c r="K393" s="9">
        <v>0</v>
      </c>
      <c r="L393" s="10">
        <f t="shared" si="66"/>
        <v>0.19025575959933227</v>
      </c>
      <c r="M393" s="7"/>
      <c r="N393" s="48"/>
      <c r="O393" s="78" cm="1">
        <f t="array" ref="O393">IF(M393&lt;12.5, 0,
IF(M393&lt;29, 6.25,
IF(M393&lt;50, 6.5,
IF(M393&lt;79, 6.75,
VALUE(SUBSTITUTE(
INDEX(RESUMO!$J$2:$J$100, MATCH(1,
(D393&gt;=RESUMO!$H$2:$H$100)*(D393&lt;=RESUMO!$I$2:$I$100)*(M393&gt;=RESUMO!$K$2:$K$100)*(M393&lt;=RESUMO!$L$2:$L$100),
0)), "R$ ", ""))
))))</f>
        <v>0</v>
      </c>
      <c r="P393" s="9"/>
      <c r="Q393" s="10" t="e">
        <f t="shared" si="67"/>
        <v>#DIV/0!</v>
      </c>
      <c r="R393" s="5">
        <f t="shared" si="68"/>
        <v>489.63320000000004</v>
      </c>
      <c r="S393" s="5">
        <f t="shared" si="69"/>
        <v>113.96320000000003</v>
      </c>
      <c r="T393" s="5">
        <f t="shared" si="70"/>
        <v>-15.026800000000001</v>
      </c>
      <c r="U393" s="5">
        <f t="shared" si="71"/>
        <v>-390.6968</v>
      </c>
    </row>
    <row r="394" spans="1:21" x14ac:dyDescent="0.25">
      <c r="A394" s="11" t="s">
        <v>25</v>
      </c>
      <c r="B394" s="6" t="s">
        <v>455</v>
      </c>
      <c r="C394" s="9">
        <v>93.27</v>
      </c>
      <c r="D394" s="6">
        <v>1</v>
      </c>
      <c r="E394" s="8">
        <v>0.04</v>
      </c>
      <c r="F394" s="49">
        <v>0</v>
      </c>
      <c r="G394" s="9">
        <v>2</v>
      </c>
      <c r="H394" s="9">
        <v>169</v>
      </c>
      <c r="I394" s="48">
        <v>0.11</v>
      </c>
      <c r="J394" s="78" cm="1">
        <f t="array" ref="J394">IF(H394&lt;12.5, H394/2,
IF(H394&lt;29, 6.25,
IF(H394&lt;50, 6.5,
IF(H394&lt;79, 6.75,
VALUE(SUBSTITUTE(
INDEX(RESUMO!$J$2:$J$100, MATCH(1,
(D394&gt;=RESUMO!$H$2:$H$100)*(D394&lt;=RESUMO!$I$2:$I$100)*(H394&gt;=RESUMO!$K$2:$K$100)*(H394&lt;=RESUMO!$L$2:$L$100),
0)), "R$ ", ""))
))))</f>
        <v>20.2</v>
      </c>
      <c r="K394" s="9">
        <v>0</v>
      </c>
      <c r="L394" s="10">
        <f t="shared" si="66"/>
        <v>0.19650414201183439</v>
      </c>
      <c r="M394" s="7"/>
      <c r="N394" s="48"/>
      <c r="O394" s="78" cm="1">
        <f t="array" ref="O394">IF(M394&lt;12.5, 0,
IF(M394&lt;29, 6.25,
IF(M394&lt;50, 6.5,
IF(M394&lt;79, 6.75,
VALUE(SUBSTITUTE(
INDEX(RESUMO!$J$2:$J$100, MATCH(1,
(D394&gt;=RESUMO!$H$2:$H$100)*(D394&lt;=RESUMO!$I$2:$I$100)*(M394&gt;=RESUMO!$K$2:$K$100)*(M394&lt;=RESUMO!$L$2:$L$100),
0)), "R$ ", ""))
))))</f>
        <v>0</v>
      </c>
      <c r="P394" s="9"/>
      <c r="Q394" s="10" t="e">
        <f t="shared" si="67"/>
        <v>#DIV/0!</v>
      </c>
      <c r="R394" s="5">
        <f t="shared" si="68"/>
        <v>126.47920000000001</v>
      </c>
      <c r="S394" s="5">
        <f t="shared" si="69"/>
        <v>33.20920000000001</v>
      </c>
      <c r="T394" s="5">
        <f t="shared" si="70"/>
        <v>-3.7307999999999999</v>
      </c>
      <c r="U394" s="5">
        <f t="shared" si="71"/>
        <v>-97.000799999999998</v>
      </c>
    </row>
    <row r="395" spans="1:21" x14ac:dyDescent="0.25">
      <c r="A395" s="11" t="s">
        <v>33</v>
      </c>
      <c r="B395" s="6" t="s">
        <v>456</v>
      </c>
      <c r="C395" s="9">
        <v>264.66000000000003</v>
      </c>
      <c r="D395" s="6">
        <v>5</v>
      </c>
      <c r="E395" s="8">
        <v>0.04</v>
      </c>
      <c r="F395" s="49">
        <v>0</v>
      </c>
      <c r="G395" s="9">
        <v>2</v>
      </c>
      <c r="H395" s="9">
        <v>475</v>
      </c>
      <c r="I395" s="48">
        <v>0.11</v>
      </c>
      <c r="J395" s="78" cm="1">
        <f t="array" ref="J395">IF(H395&lt;12.5, H395/2,
IF(H395&lt;29, 6.25,
IF(H395&lt;50, 6.5,
IF(H395&lt;79, 6.75,
VALUE(SUBSTITUTE(
INDEX(RESUMO!$J$2:$J$100, MATCH(1,
(D395&gt;=RESUMO!$H$2:$H$100)*(D395&lt;=RESUMO!$I$2:$I$100)*(H395&gt;=RESUMO!$K$2:$K$100)*(H395&lt;=RESUMO!$L$2:$L$100),
0)), "R$ ", ""))
))))</f>
        <v>28.45</v>
      </c>
      <c r="K395" s="9">
        <v>0</v>
      </c>
      <c r="L395" s="10">
        <f t="shared" si="66"/>
        <v>0.25063915789473679</v>
      </c>
      <c r="M395" s="7"/>
      <c r="N395" s="48"/>
      <c r="O395" s="78" cm="1">
        <f t="array" ref="O395">IF(M395&lt;12.5, 0,
IF(M395&lt;29, 6.25,
IF(M395&lt;50, 6.5,
IF(M395&lt;79, 6.75,
VALUE(SUBSTITUTE(
INDEX(RESUMO!$J$2:$J$100, MATCH(1,
(D395&gt;=RESUMO!$H$2:$H$100)*(D395&lt;=RESUMO!$I$2:$I$100)*(M395&gt;=RESUMO!$K$2:$K$100)*(M395&lt;=RESUMO!$L$2:$L$100),
0)), "R$ ", ""))
))))</f>
        <v>0</v>
      </c>
      <c r="P395" s="9"/>
      <c r="Q395" s="10" t="e">
        <f t="shared" si="67"/>
        <v>#DIV/0!</v>
      </c>
      <c r="R395" s="5">
        <f t="shared" si="68"/>
        <v>383.71359999999999</v>
      </c>
      <c r="S395" s="5">
        <f t="shared" si="69"/>
        <v>119.05359999999996</v>
      </c>
      <c r="T395" s="5">
        <f t="shared" si="70"/>
        <v>-10.586400000000001</v>
      </c>
      <c r="U395" s="5">
        <f t="shared" si="71"/>
        <v>-275.24640000000005</v>
      </c>
    </row>
    <row r="396" spans="1:21" x14ac:dyDescent="0.25">
      <c r="A396" s="11" t="s">
        <v>25</v>
      </c>
      <c r="B396" s="6" t="s">
        <v>143</v>
      </c>
      <c r="C396" s="9">
        <v>207.52</v>
      </c>
      <c r="D396" s="6">
        <v>4</v>
      </c>
      <c r="E396" s="8">
        <v>0.04</v>
      </c>
      <c r="F396" s="49">
        <v>0</v>
      </c>
      <c r="G396" s="9">
        <v>2</v>
      </c>
      <c r="H396" s="9">
        <v>275</v>
      </c>
      <c r="I396" s="48">
        <v>0.11</v>
      </c>
      <c r="J396" s="78" cm="1">
        <f t="array" ref="J396">IF(H396&lt;12.5, H396/2,
IF(H396&lt;29, 6.25,
IF(H396&lt;50, 6.5,
IF(H396&lt;79, 6.75,
VALUE(SUBSTITUTE(
INDEX(RESUMO!$J$2:$J$100, MATCH(1,
(D396&gt;=RESUMO!$H$2:$H$100)*(D396&lt;=RESUMO!$I$2:$I$100)*(H396&gt;=RESUMO!$K$2:$K$100)*(H396&lt;=RESUMO!$L$2:$L$100),
0)), "R$ ", ""))
))))</f>
        <v>26.95</v>
      </c>
      <c r="K396" s="78">
        <v>0</v>
      </c>
      <c r="L396" s="10">
        <f t="shared" si="66"/>
        <v>7.1970909090908787E-3</v>
      </c>
      <c r="M396" s="7">
        <v>289</v>
      </c>
      <c r="N396" s="48">
        <v>0.16</v>
      </c>
      <c r="O396" s="78" cm="1">
        <f t="array" ref="O396">IF(M396&lt;12.5, 0,
IF(M396&lt;29, 6.25,
IF(M396&lt;50, 6.5,
IF(M396&lt;79, 6.75,
VALUE(SUBSTITUTE(
INDEX(RESUMO!$J$2:$J$100, MATCH(1,
(D396&gt;=RESUMO!$H$2:$H$100)*(D396&lt;=RESUMO!$I$2:$I$100)*(M396&gt;=RESUMO!$K$2:$K$100)*(M396&lt;=RESUMO!$L$2:$L$100),
0)), "R$ ", ""))
))))</f>
        <v>26.95</v>
      </c>
      <c r="P396" s="9">
        <v>0</v>
      </c>
      <c r="Q396" s="10">
        <f t="shared" si="67"/>
        <v>-3.7370242214593295E-5</v>
      </c>
      <c r="R396" s="5">
        <f t="shared" si="68"/>
        <v>209.4992</v>
      </c>
      <c r="S396" s="5">
        <f t="shared" si="69"/>
        <v>1.9791999999999916</v>
      </c>
      <c r="T396" s="5">
        <f t="shared" si="70"/>
        <v>207.50919999999999</v>
      </c>
      <c r="U396" s="5">
        <f t="shared" si="71"/>
        <v>-1.0800000000017462E-2</v>
      </c>
    </row>
    <row r="397" spans="1:21" x14ac:dyDescent="0.25">
      <c r="A397" s="11" t="s">
        <v>33</v>
      </c>
      <c r="B397" s="6" t="s">
        <v>457</v>
      </c>
      <c r="C397" s="9">
        <v>37.99</v>
      </c>
      <c r="D397" s="6">
        <v>1</v>
      </c>
      <c r="E397" s="8">
        <v>0.04</v>
      </c>
      <c r="F397" s="49">
        <v>0</v>
      </c>
      <c r="G397" s="9">
        <v>2</v>
      </c>
      <c r="H397" s="9">
        <v>66</v>
      </c>
      <c r="I397" s="48">
        <v>0.11</v>
      </c>
      <c r="J397" s="78" cm="1">
        <f t="array" ref="J397">IF(H397&lt;12.5, H397/2,
IF(H397&lt;29, 6.25,
IF(H397&lt;50, 6.5,
IF(H397&lt;79, 6.75,
VALUE(SUBSTITUTE(
INDEX(RESUMO!$J$2:$J$100, MATCH(1,
(D397&gt;=RESUMO!$H$2:$H$100)*(D397&lt;=RESUMO!$I$2:$I$100)*(H397&gt;=RESUMO!$K$2:$K$100)*(H397&lt;=RESUMO!$L$2:$L$100),
0)), "R$ ", ""))
))))</f>
        <v>6.75</v>
      </c>
      <c r="K397" s="9">
        <v>0</v>
      </c>
      <c r="L397" s="10">
        <f t="shared" si="66"/>
        <v>0.18909696969696974</v>
      </c>
      <c r="M397" s="7"/>
      <c r="N397" s="48"/>
      <c r="O397" s="78" cm="1">
        <f t="array" ref="O397">IF(M397&lt;12.5, 0,
IF(M397&lt;29, 6.25,
IF(M397&lt;50, 6.5,
IF(M397&lt;79, 6.75,
VALUE(SUBSTITUTE(
INDEX(RESUMO!$J$2:$J$100, MATCH(1,
(D397&gt;=RESUMO!$H$2:$H$100)*(D397&lt;=RESUMO!$I$2:$I$100)*(M397&gt;=RESUMO!$K$2:$K$100)*(M397&lt;=RESUMO!$L$2:$L$100),
0)), "R$ ", ""))
))))</f>
        <v>0</v>
      </c>
      <c r="P397" s="9"/>
      <c r="Q397" s="10" t="e">
        <f t="shared" si="67"/>
        <v>#DIV/0!</v>
      </c>
      <c r="R397" s="5">
        <f t="shared" si="68"/>
        <v>50.470400000000005</v>
      </c>
      <c r="S397" s="5">
        <f t="shared" si="69"/>
        <v>12.480400000000003</v>
      </c>
      <c r="T397" s="5">
        <f t="shared" si="70"/>
        <v>-1.5196000000000001</v>
      </c>
      <c r="U397" s="5">
        <f t="shared" si="71"/>
        <v>-39.509599999999999</v>
      </c>
    </row>
    <row r="398" spans="1:21" x14ac:dyDescent="0.25">
      <c r="A398" s="11" t="s">
        <v>25</v>
      </c>
      <c r="B398" s="6" t="s">
        <v>513</v>
      </c>
      <c r="C398" s="9">
        <v>106.89</v>
      </c>
      <c r="D398" s="6">
        <v>3</v>
      </c>
      <c r="E398" s="8">
        <v>0.04</v>
      </c>
      <c r="F398" s="49">
        <v>0</v>
      </c>
      <c r="G398" s="9">
        <v>2</v>
      </c>
      <c r="H398" s="9">
        <v>189.9</v>
      </c>
      <c r="I398" s="48">
        <v>0.11</v>
      </c>
      <c r="J398" s="78" cm="1">
        <f t="array" ref="J398">IF(H398&lt;12.5, H398/2,
IF(H398&lt;29, 6.25,
IF(H398&lt;50, 6.5,
IF(H398&lt;79, 6.75,
VALUE(SUBSTITUTE(
INDEX(RESUMO!$J$2:$J$100, MATCH(1,
(D398&gt;=RESUMO!$H$2:$H$100)*(D398&lt;=RESUMO!$I$2:$I$100)*(H398&gt;=RESUMO!$K$2:$K$100)*(H398&lt;=RESUMO!$L$2:$L$100),
0)), "R$ ", ""))
))))</f>
        <v>22.45</v>
      </c>
      <c r="K398" s="9">
        <v>0</v>
      </c>
      <c r="L398" s="10">
        <f t="shared" si="66"/>
        <v>0.18638967877830442</v>
      </c>
      <c r="M398" s="7"/>
      <c r="N398" s="48"/>
      <c r="O398" s="78" cm="1">
        <f t="array" ref="O398">IF(M398&lt;12.5, 0,
IF(M398&lt;29, 6.25,
IF(M398&lt;50, 6.5,
IF(M398&lt;79, 6.75,
VALUE(SUBSTITUTE(
INDEX(RESUMO!$J$2:$J$100, MATCH(1,
(D398&gt;=RESUMO!$H$2:$H$100)*(D398&lt;=RESUMO!$I$2:$I$100)*(M398&gt;=RESUMO!$K$2:$K$100)*(M398&lt;=RESUMO!$L$2:$L$100),
0)), "R$ ", ""))
))))</f>
        <v>0</v>
      </c>
      <c r="P398" s="9"/>
      <c r="Q398" s="10" t="e">
        <f t="shared" si="67"/>
        <v>#DIV/0!</v>
      </c>
      <c r="R398" s="5">
        <f t="shared" si="68"/>
        <v>142.28540000000001</v>
      </c>
      <c r="S398" s="5">
        <f t="shared" si="69"/>
        <v>35.395400000000009</v>
      </c>
      <c r="T398" s="5">
        <f t="shared" si="70"/>
        <v>-4.2755999999999998</v>
      </c>
      <c r="U398" s="5">
        <f t="shared" si="71"/>
        <v>-111.1656</v>
      </c>
    </row>
    <row r="399" spans="1:21" x14ac:dyDescent="0.25">
      <c r="A399" s="11" t="s">
        <v>25</v>
      </c>
      <c r="B399" s="6" t="s">
        <v>458</v>
      </c>
      <c r="C399" s="9">
        <v>106.89</v>
      </c>
      <c r="D399" s="6">
        <v>3</v>
      </c>
      <c r="E399" s="8">
        <v>0.04</v>
      </c>
      <c r="F399" s="49">
        <v>0</v>
      </c>
      <c r="G399" s="9">
        <v>2</v>
      </c>
      <c r="H399" s="9">
        <v>189.9</v>
      </c>
      <c r="I399" s="48">
        <v>0.11</v>
      </c>
      <c r="J399" s="78" cm="1">
        <f t="array" ref="J399">IF(H399&lt;12.5, H399/2,
IF(H399&lt;29, 6.25,
IF(H399&lt;50, 6.5,
IF(H399&lt;79, 6.75,
VALUE(SUBSTITUTE(
INDEX(RESUMO!$J$2:$J$100, MATCH(1,
(D399&gt;=RESUMO!$H$2:$H$100)*(D399&lt;=RESUMO!$I$2:$I$100)*(H399&gt;=RESUMO!$K$2:$K$100)*(H399&lt;=RESUMO!$L$2:$L$100),
0)), "R$ ", ""))
))))</f>
        <v>22.45</v>
      </c>
      <c r="K399" s="9">
        <v>0</v>
      </c>
      <c r="L399" s="10">
        <f t="shared" si="66"/>
        <v>0.18638967877830442</v>
      </c>
      <c r="M399" s="7"/>
      <c r="N399" s="48"/>
      <c r="O399" s="78" cm="1">
        <f t="array" ref="O399">IF(M399&lt;12.5, 0,
IF(M399&lt;29, 6.25,
IF(M399&lt;50, 6.5,
IF(M399&lt;79, 6.75,
VALUE(SUBSTITUTE(
INDEX(RESUMO!$J$2:$J$100, MATCH(1,
(D399&gt;=RESUMO!$H$2:$H$100)*(D399&lt;=RESUMO!$I$2:$I$100)*(M399&gt;=RESUMO!$K$2:$K$100)*(M399&lt;=RESUMO!$L$2:$L$100),
0)), "R$ ", ""))
))))</f>
        <v>0</v>
      </c>
      <c r="P399" s="9"/>
      <c r="Q399" s="10" t="e">
        <f t="shared" si="67"/>
        <v>#DIV/0!</v>
      </c>
      <c r="R399" s="5">
        <f t="shared" si="68"/>
        <v>142.28540000000001</v>
      </c>
      <c r="S399" s="5">
        <f t="shared" si="69"/>
        <v>35.395400000000009</v>
      </c>
      <c r="T399" s="5">
        <f t="shared" si="70"/>
        <v>-4.2755999999999998</v>
      </c>
      <c r="U399" s="5">
        <f t="shared" si="71"/>
        <v>-111.1656</v>
      </c>
    </row>
    <row r="400" spans="1:21" x14ac:dyDescent="0.25">
      <c r="A400" s="11" t="s">
        <v>25</v>
      </c>
      <c r="B400" s="6" t="s">
        <v>459</v>
      </c>
      <c r="C400" s="9">
        <v>49.66</v>
      </c>
      <c r="D400" s="6">
        <v>1</v>
      </c>
      <c r="E400" s="8">
        <v>0.04</v>
      </c>
      <c r="F400" s="49">
        <v>0</v>
      </c>
      <c r="G400" s="9">
        <v>2</v>
      </c>
      <c r="H400" s="9">
        <v>92</v>
      </c>
      <c r="I400" s="48">
        <v>0.11</v>
      </c>
      <c r="J400" s="78" cm="1">
        <f t="array" ref="J400">IF(H400&lt;12.5, H400/2,
IF(H400&lt;29, 6.25,
IF(H400&lt;50, 6.5,
IF(H400&lt;79, 6.75,
VALUE(SUBSTITUTE(
INDEX(RESUMO!$J$2:$J$100, MATCH(1,
(D400&gt;=RESUMO!$H$2:$H$100)*(D400&lt;=RESUMO!$I$2:$I$100)*(H400&gt;=RESUMO!$K$2:$K$100)*(H400&lt;=RESUMO!$L$2:$L$100),
0)), "R$ ", ""))
))))</f>
        <v>13.47</v>
      </c>
      <c r="K400" s="9">
        <v>0</v>
      </c>
      <c r="L400" s="10">
        <f t="shared" si="66"/>
        <v>0.18221304347826084</v>
      </c>
      <c r="M400" s="7"/>
      <c r="N400" s="48"/>
      <c r="O400" s="78" cm="1">
        <f t="array" ref="O400">IF(M400&lt;12.5, 0,
IF(M400&lt;29, 6.25,
IF(M400&lt;50, 6.5,
IF(M400&lt;79, 6.75,
VALUE(SUBSTITUTE(
INDEX(RESUMO!$J$2:$J$100, MATCH(1,
(D400&gt;=RESUMO!$H$2:$H$100)*(D400&lt;=RESUMO!$I$2:$I$100)*(M400&gt;=RESUMO!$K$2:$K$100)*(M400&lt;=RESUMO!$L$2:$L$100),
0)), "R$ ", ""))
))))</f>
        <v>0</v>
      </c>
      <c r="P400" s="9"/>
      <c r="Q400" s="10" t="e">
        <f t="shared" si="67"/>
        <v>#DIV/0!</v>
      </c>
      <c r="R400" s="5">
        <f t="shared" si="68"/>
        <v>66.423599999999993</v>
      </c>
      <c r="S400" s="5">
        <f t="shared" si="69"/>
        <v>16.763599999999997</v>
      </c>
      <c r="T400" s="5">
        <f t="shared" si="70"/>
        <v>-1.9863999999999999</v>
      </c>
      <c r="U400" s="5">
        <f t="shared" si="71"/>
        <v>-51.6464</v>
      </c>
    </row>
    <row r="401" spans="1:21" x14ac:dyDescent="0.25">
      <c r="A401" s="11" t="s">
        <v>25</v>
      </c>
      <c r="B401" s="6" t="s">
        <v>460</v>
      </c>
      <c r="C401" s="9">
        <v>86.38</v>
      </c>
      <c r="D401" s="6">
        <v>2</v>
      </c>
      <c r="E401" s="8">
        <v>0.04</v>
      </c>
      <c r="F401" s="49">
        <v>0</v>
      </c>
      <c r="G401" s="9">
        <v>2</v>
      </c>
      <c r="H401" s="9">
        <v>189</v>
      </c>
      <c r="I401" s="48">
        <v>0.11</v>
      </c>
      <c r="J401" s="78" cm="1">
        <f t="array" ref="J401">IF(H401&lt;12.5, H401/2,
IF(H401&lt;29, 6.25,
IF(H401&lt;50, 6.5,
IF(H401&lt;79, 6.75,
VALUE(SUBSTITUTE(
INDEX(RESUMO!$J$2:$J$100, MATCH(1,
(D401&gt;=RESUMO!$H$2:$H$100)*(D401&lt;=RESUMO!$I$2:$I$100)*(H401&gt;=RESUMO!$K$2:$K$100)*(H401&lt;=RESUMO!$L$2:$L$100),
0)), "R$ ", ""))
))))</f>
        <v>21.1</v>
      </c>
      <c r="K401" s="9">
        <v>0</v>
      </c>
      <c r="L401" s="10">
        <f t="shared" si="66"/>
        <v>0.30304126984127</v>
      </c>
      <c r="M401" s="7"/>
      <c r="N401" s="48"/>
      <c r="O401" s="78" cm="1">
        <f t="array" ref="O401">IF(M401&lt;12.5, 0,
IF(M401&lt;29, 6.25,
IF(M401&lt;50, 6.5,
IF(M401&lt;79, 6.75,
VALUE(SUBSTITUTE(
INDEX(RESUMO!$J$2:$J$100, MATCH(1,
(D401&gt;=RESUMO!$H$2:$H$100)*(D401&lt;=RESUMO!$I$2:$I$100)*(M401&gt;=RESUMO!$K$2:$K$100)*(M401&lt;=RESUMO!$L$2:$L$100),
0)), "R$ ", ""))
))))</f>
        <v>0</v>
      </c>
      <c r="P401" s="9"/>
      <c r="Q401" s="10" t="e">
        <f t="shared" si="67"/>
        <v>#DIV/0!</v>
      </c>
      <c r="R401" s="5">
        <f t="shared" si="68"/>
        <v>143.65480000000002</v>
      </c>
      <c r="S401" s="5">
        <f t="shared" si="69"/>
        <v>57.274800000000027</v>
      </c>
      <c r="T401" s="5">
        <f t="shared" si="70"/>
        <v>-3.4552</v>
      </c>
      <c r="U401" s="5">
        <f t="shared" si="71"/>
        <v>-89.8352</v>
      </c>
    </row>
    <row r="402" spans="1:21" x14ac:dyDescent="0.25">
      <c r="A402" s="11" t="s">
        <v>25</v>
      </c>
      <c r="B402" s="6" t="s">
        <v>461</v>
      </c>
      <c r="C402" s="9">
        <v>86.38</v>
      </c>
      <c r="D402" s="6">
        <v>2</v>
      </c>
      <c r="E402" s="8">
        <v>0.04</v>
      </c>
      <c r="F402" s="49">
        <v>0</v>
      </c>
      <c r="G402" s="9">
        <v>2</v>
      </c>
      <c r="H402" s="9">
        <v>199.9</v>
      </c>
      <c r="I402" s="48">
        <v>0.11</v>
      </c>
      <c r="J402" s="78" cm="1">
        <f t="array" ref="J402">IF(H402&lt;12.5, H402/2,
IF(H402&lt;29, 6.25,
IF(H402&lt;50, 6.5,
IF(H402&lt;79, 6.75,
VALUE(SUBSTITUTE(
INDEX(RESUMO!$J$2:$J$100, MATCH(1,
(D402&gt;=RESUMO!$H$2:$H$100)*(D402&lt;=RESUMO!$I$2:$I$100)*(H402&gt;=RESUMO!$K$2:$K$100)*(H402&lt;=RESUMO!$L$2:$L$100),
0)), "R$ ", ""))
))))</f>
        <v>21.1</v>
      </c>
      <c r="K402" s="9">
        <v>0</v>
      </c>
      <c r="L402" s="10">
        <f t="shared" si="66"/>
        <v>0.33504652326163092</v>
      </c>
      <c r="M402" s="7"/>
      <c r="N402" s="48"/>
      <c r="O402" s="78" cm="1">
        <f t="array" ref="O402">IF(M402&lt;12.5, 0,
IF(M402&lt;29, 6.25,
IF(M402&lt;50, 6.5,
IF(M402&lt;79, 6.75,
VALUE(SUBSTITUTE(
INDEX(RESUMO!$J$2:$J$100, MATCH(1,
(D402&gt;=RESUMO!$H$2:$H$100)*(D402&lt;=RESUMO!$I$2:$I$100)*(M402&gt;=RESUMO!$K$2:$K$100)*(M402&lt;=RESUMO!$L$2:$L$100),
0)), "R$ ", ""))
))))</f>
        <v>0</v>
      </c>
      <c r="P402" s="9"/>
      <c r="Q402" s="10" t="e">
        <f t="shared" si="67"/>
        <v>#DIV/0!</v>
      </c>
      <c r="R402" s="5">
        <f t="shared" si="68"/>
        <v>153.35580000000002</v>
      </c>
      <c r="S402" s="5">
        <f t="shared" si="69"/>
        <v>66.975800000000021</v>
      </c>
      <c r="T402" s="5">
        <f t="shared" si="70"/>
        <v>-3.4552</v>
      </c>
      <c r="U402" s="5">
        <f t="shared" si="71"/>
        <v>-89.8352</v>
      </c>
    </row>
    <row r="403" spans="1:21" x14ac:dyDescent="0.25">
      <c r="A403" s="11" t="s">
        <v>33</v>
      </c>
      <c r="B403" s="6" t="s">
        <v>462</v>
      </c>
      <c r="C403" s="9">
        <v>63.36</v>
      </c>
      <c r="D403" s="6">
        <v>4</v>
      </c>
      <c r="E403" s="8">
        <v>0.04</v>
      </c>
      <c r="F403" s="49">
        <v>0</v>
      </c>
      <c r="G403" s="9">
        <v>2</v>
      </c>
      <c r="H403" s="9">
        <v>119.9</v>
      </c>
      <c r="I403" s="48">
        <v>0.11</v>
      </c>
      <c r="J403" s="78" cm="1">
        <f t="array" ref="J403">IF(H403&lt;12.5, H403/2,
IF(H403&lt;29, 6.25,
IF(H403&lt;50, 6.5,
IF(H403&lt;79, 6.75,
VALUE(SUBSTITUTE(
INDEX(RESUMO!$J$2:$J$100, MATCH(1,
(D403&gt;=RESUMO!$H$2:$H$100)*(D403&lt;=RESUMO!$I$2:$I$100)*(H403&gt;=RESUMO!$K$2:$K$100)*(H403&lt;=RESUMO!$L$2:$L$100),
0)), "R$ ", ""))
))))</f>
        <v>18.87</v>
      </c>
      <c r="K403" s="9">
        <v>0</v>
      </c>
      <c r="L403" s="10">
        <f t="shared" si="66"/>
        <v>0.18304086738949127</v>
      </c>
      <c r="M403" s="7"/>
      <c r="N403" s="48"/>
      <c r="O403" s="78" cm="1">
        <f t="array" ref="O403">IF(M403&lt;12.5, 0,
IF(M403&lt;29, 6.25,
IF(M403&lt;50, 6.5,
IF(M403&lt;79, 6.75,
VALUE(SUBSTITUTE(
INDEX(RESUMO!$J$2:$J$100, MATCH(1,
(D403&gt;=RESUMO!$H$2:$H$100)*(D403&lt;=RESUMO!$I$2:$I$100)*(M403&gt;=RESUMO!$K$2:$K$100)*(M403&lt;=RESUMO!$L$2:$L$100),
0)), "R$ ", ""))
))))</f>
        <v>0</v>
      </c>
      <c r="P403" s="9"/>
      <c r="Q403" s="10" t="e">
        <f t="shared" si="67"/>
        <v>#DIV/0!</v>
      </c>
      <c r="R403" s="5">
        <f t="shared" si="68"/>
        <v>85.306600000000003</v>
      </c>
      <c r="S403" s="5">
        <f t="shared" si="69"/>
        <v>21.946600000000004</v>
      </c>
      <c r="T403" s="5">
        <f t="shared" si="70"/>
        <v>-2.5344000000000002</v>
      </c>
      <c r="U403" s="5">
        <f t="shared" si="71"/>
        <v>-65.894400000000005</v>
      </c>
    </row>
    <row r="404" spans="1:21" x14ac:dyDescent="0.25">
      <c r="A404" s="11" t="s">
        <v>33</v>
      </c>
      <c r="B404" s="6" t="s">
        <v>463</v>
      </c>
      <c r="C404" s="9">
        <v>63.36</v>
      </c>
      <c r="D404" s="6">
        <v>4</v>
      </c>
      <c r="E404" s="8">
        <v>0.04</v>
      </c>
      <c r="F404" s="49">
        <v>0</v>
      </c>
      <c r="G404" s="9">
        <v>2</v>
      </c>
      <c r="H404" s="9">
        <v>119.9</v>
      </c>
      <c r="I404" s="48">
        <v>0.11</v>
      </c>
      <c r="J404" s="78" cm="1">
        <f t="array" ref="J404">IF(H404&lt;12.5, H404/2,
IF(H404&lt;29, 6.25,
IF(H404&lt;50, 6.5,
IF(H404&lt;79, 6.75,
VALUE(SUBSTITUTE(
INDEX(RESUMO!$J$2:$J$100, MATCH(1,
(D404&gt;=RESUMO!$H$2:$H$100)*(D404&lt;=RESUMO!$I$2:$I$100)*(H404&gt;=RESUMO!$K$2:$K$100)*(H404&lt;=RESUMO!$L$2:$L$100),
0)), "R$ ", ""))
))))</f>
        <v>18.87</v>
      </c>
      <c r="K404" s="9">
        <v>0</v>
      </c>
      <c r="L404" s="10">
        <f t="shared" si="66"/>
        <v>0.18304086738949127</v>
      </c>
      <c r="M404" s="7"/>
      <c r="N404" s="48"/>
      <c r="O404" s="78" cm="1">
        <f t="array" ref="O404">IF(M404&lt;12.5, 0,
IF(M404&lt;29, 6.25,
IF(M404&lt;50, 6.5,
IF(M404&lt;79, 6.75,
VALUE(SUBSTITUTE(
INDEX(RESUMO!$J$2:$J$100, MATCH(1,
(D404&gt;=RESUMO!$H$2:$H$100)*(D404&lt;=RESUMO!$I$2:$I$100)*(M404&gt;=RESUMO!$K$2:$K$100)*(M404&lt;=RESUMO!$L$2:$L$100),
0)), "R$ ", ""))
))))</f>
        <v>0</v>
      </c>
      <c r="P404" s="9"/>
      <c r="Q404" s="10" t="e">
        <f t="shared" si="67"/>
        <v>#DIV/0!</v>
      </c>
      <c r="R404" s="5">
        <f t="shared" si="68"/>
        <v>85.306600000000003</v>
      </c>
      <c r="S404" s="5">
        <f t="shared" si="69"/>
        <v>21.946600000000004</v>
      </c>
      <c r="T404" s="5">
        <f t="shared" si="70"/>
        <v>-2.5344000000000002</v>
      </c>
      <c r="U404" s="5">
        <f t="shared" si="71"/>
        <v>-65.894400000000005</v>
      </c>
    </row>
    <row r="405" spans="1:21" x14ac:dyDescent="0.25">
      <c r="A405" s="11" t="s">
        <v>33</v>
      </c>
      <c r="B405" s="6" t="s">
        <v>95</v>
      </c>
      <c r="C405" s="9">
        <v>100.37</v>
      </c>
      <c r="D405" s="6">
        <v>2</v>
      </c>
      <c r="E405" s="8">
        <v>0.04</v>
      </c>
      <c r="F405" s="49">
        <v>0</v>
      </c>
      <c r="G405" s="9">
        <v>2</v>
      </c>
      <c r="H405" s="9">
        <v>139</v>
      </c>
      <c r="I405" s="48">
        <v>0.11</v>
      </c>
      <c r="J405" s="78" cm="1">
        <f t="array" ref="J405">IF(H405&lt;12.5, H405/2,
IF(H405&lt;29, 6.25,
IF(H405&lt;50, 6.5,
IF(H405&lt;79, 6.75,
VALUE(SUBSTITUTE(
INDEX(RESUMO!$J$2:$J$100, MATCH(1,
(D405&gt;=RESUMO!$H$2:$H$100)*(D405&lt;=RESUMO!$I$2:$I$100)*(H405&gt;=RESUMO!$K$2:$K$100)*(H405&lt;=RESUMO!$L$2:$L$100),
0)), "R$ ", ""))
))))</f>
        <v>18.760000000000002</v>
      </c>
      <c r="K405" s="78">
        <v>0</v>
      </c>
      <c r="L405" s="10">
        <f t="shared" si="66"/>
        <v>4.0661870503596416E-3</v>
      </c>
      <c r="M405" s="7">
        <v>149</v>
      </c>
      <c r="N405" s="48">
        <v>0.16</v>
      </c>
      <c r="O405" s="78" cm="1">
        <f t="array" ref="O405">IF(M405&lt;12.5, 0,
IF(M405&lt;29, 6.25,
IF(M405&lt;50, 6.5,
IF(M405&lt;79, 6.75,
VALUE(SUBSTITUTE(
INDEX(RESUMO!$J$2:$J$100, MATCH(1,
(D405&gt;=RESUMO!$H$2:$H$100)*(D405&lt;=RESUMO!$I$2:$I$100)*(M405&gt;=RESUMO!$K$2:$K$100)*(M405&lt;=RESUMO!$L$2:$L$100),
0)), "R$ ", ""))
))))</f>
        <v>18.760000000000002</v>
      </c>
      <c r="P405" s="9">
        <v>0</v>
      </c>
      <c r="Q405" s="10">
        <f t="shared" si="67"/>
        <v>1.3524832214765053E-2</v>
      </c>
      <c r="R405" s="5">
        <f t="shared" si="68"/>
        <v>100.93519999999999</v>
      </c>
      <c r="S405" s="5">
        <f t="shared" si="69"/>
        <v>0.56519999999999015</v>
      </c>
      <c r="T405" s="5">
        <f t="shared" si="70"/>
        <v>102.3852</v>
      </c>
      <c r="U405" s="5">
        <f t="shared" si="71"/>
        <v>2.015199999999993</v>
      </c>
    </row>
    <row r="406" spans="1:21" x14ac:dyDescent="0.25">
      <c r="A406" s="11" t="s">
        <v>33</v>
      </c>
      <c r="B406" s="6" t="s">
        <v>464</v>
      </c>
      <c r="C406" s="9">
        <v>118.8</v>
      </c>
      <c r="D406" s="6">
        <v>2</v>
      </c>
      <c r="E406" s="8">
        <v>0.04</v>
      </c>
      <c r="F406" s="49">
        <v>0</v>
      </c>
      <c r="G406" s="9">
        <v>2</v>
      </c>
      <c r="H406" s="9">
        <v>208</v>
      </c>
      <c r="I406" s="48">
        <v>0.11</v>
      </c>
      <c r="J406" s="78" cm="1">
        <f t="array" ref="J406">IF(H406&lt;12.5, H406/2,
IF(H406&lt;29, 6.25,
IF(H406&lt;50, 6.5,
IF(H406&lt;79, 6.75,
VALUE(SUBSTITUTE(
INDEX(RESUMO!$J$2:$J$100, MATCH(1,
(D406&gt;=RESUMO!$H$2:$H$100)*(D406&lt;=RESUMO!$I$2:$I$100)*(H406&gt;=RESUMO!$K$2:$K$100)*(H406&lt;=RESUMO!$L$2:$L$100),
0)), "R$ ", ""))
))))</f>
        <v>23.45</v>
      </c>
      <c r="K406" s="9">
        <v>0</v>
      </c>
      <c r="L406" s="10">
        <f t="shared" si="66"/>
        <v>0.18325961538461544</v>
      </c>
      <c r="M406" s="7"/>
      <c r="N406" s="48"/>
      <c r="O406" s="78" cm="1">
        <f t="array" ref="O406">IF(M406&lt;12.5, 0,
IF(M406&lt;29, 6.25,
IF(M406&lt;50, 6.5,
IF(M406&lt;79, 6.75,
VALUE(SUBSTITUTE(
INDEX(RESUMO!$J$2:$J$100, MATCH(1,
(D406&gt;=RESUMO!$H$2:$H$100)*(D406&lt;=RESUMO!$I$2:$I$100)*(M406&gt;=RESUMO!$K$2:$K$100)*(M406&lt;=RESUMO!$L$2:$L$100),
0)), "R$ ", ""))
))))</f>
        <v>0</v>
      </c>
      <c r="P406" s="9"/>
      <c r="Q406" s="10" t="e">
        <f t="shared" si="67"/>
        <v>#DIV/0!</v>
      </c>
      <c r="R406" s="5">
        <f t="shared" si="68"/>
        <v>156.91800000000001</v>
      </c>
      <c r="S406" s="5">
        <f t="shared" si="69"/>
        <v>38.118000000000009</v>
      </c>
      <c r="T406" s="5">
        <f t="shared" si="70"/>
        <v>-4.7519999999999998</v>
      </c>
      <c r="U406" s="5">
        <f t="shared" si="71"/>
        <v>-123.55199999999999</v>
      </c>
    </row>
    <row r="407" spans="1:21" x14ac:dyDescent="0.25">
      <c r="A407" s="11" t="s">
        <v>33</v>
      </c>
      <c r="B407" s="6" t="s">
        <v>465</v>
      </c>
      <c r="C407" s="9">
        <v>118.8</v>
      </c>
      <c r="D407" s="6">
        <v>2</v>
      </c>
      <c r="E407" s="8">
        <v>0.04</v>
      </c>
      <c r="F407" s="49">
        <v>0</v>
      </c>
      <c r="G407" s="9">
        <v>2</v>
      </c>
      <c r="H407" s="9">
        <v>208</v>
      </c>
      <c r="I407" s="48">
        <v>0.11</v>
      </c>
      <c r="J407" s="78" cm="1">
        <f t="array" ref="J407">IF(H407&lt;12.5, H407/2,
IF(H407&lt;29, 6.25,
IF(H407&lt;50, 6.5,
IF(H407&lt;79, 6.75,
VALUE(SUBSTITUTE(
INDEX(RESUMO!$J$2:$J$100, MATCH(1,
(D407&gt;=RESUMO!$H$2:$H$100)*(D407&lt;=RESUMO!$I$2:$I$100)*(H407&gt;=RESUMO!$K$2:$K$100)*(H407&lt;=RESUMO!$L$2:$L$100),
0)), "R$ ", ""))
))))</f>
        <v>23.45</v>
      </c>
      <c r="K407" s="9">
        <v>0</v>
      </c>
      <c r="L407" s="10">
        <f t="shared" si="66"/>
        <v>0.18325961538461544</v>
      </c>
      <c r="M407" s="7"/>
      <c r="N407" s="48"/>
      <c r="O407" s="78" cm="1">
        <f t="array" ref="O407">IF(M407&lt;12.5, 0,
IF(M407&lt;29, 6.25,
IF(M407&lt;50, 6.5,
IF(M407&lt;79, 6.75,
VALUE(SUBSTITUTE(
INDEX(RESUMO!$J$2:$J$100, MATCH(1,
(D407&gt;=RESUMO!$H$2:$H$100)*(D407&lt;=RESUMO!$I$2:$I$100)*(M407&gt;=RESUMO!$K$2:$K$100)*(M407&lt;=RESUMO!$L$2:$L$100),
0)), "R$ ", ""))
))))</f>
        <v>0</v>
      </c>
      <c r="P407" s="9"/>
      <c r="Q407" s="10" t="e">
        <f t="shared" si="67"/>
        <v>#DIV/0!</v>
      </c>
      <c r="R407" s="5">
        <f t="shared" si="68"/>
        <v>156.91800000000001</v>
      </c>
      <c r="S407" s="5">
        <f t="shared" si="69"/>
        <v>38.118000000000009</v>
      </c>
      <c r="T407" s="5">
        <f t="shared" si="70"/>
        <v>-4.7519999999999998</v>
      </c>
      <c r="U407" s="5">
        <f t="shared" si="71"/>
        <v>-123.55199999999999</v>
      </c>
    </row>
    <row r="408" spans="1:21" x14ac:dyDescent="0.25">
      <c r="A408" s="11" t="s">
        <v>33</v>
      </c>
      <c r="B408" s="6" t="s">
        <v>466</v>
      </c>
      <c r="C408" s="9">
        <v>116.62</v>
      </c>
      <c r="D408" s="6">
        <v>2</v>
      </c>
      <c r="E408" s="8">
        <v>0.04</v>
      </c>
      <c r="F408" s="49">
        <v>0</v>
      </c>
      <c r="G408" s="9">
        <v>2</v>
      </c>
      <c r="H408" s="9">
        <v>198</v>
      </c>
      <c r="I408" s="48">
        <v>0.11</v>
      </c>
      <c r="J408" s="78" cm="1">
        <f t="array" ref="J408">IF(H408&lt;12.5, H408/2,
IF(H408&lt;29, 6.25,
IF(H408&lt;50, 6.5,
IF(H408&lt;79, 6.75,
VALUE(SUBSTITUTE(
INDEX(RESUMO!$J$2:$J$100, MATCH(1,
(D408&gt;=RESUMO!$H$2:$H$100)*(D408&lt;=RESUMO!$I$2:$I$100)*(H408&gt;=RESUMO!$K$2:$K$100)*(H408&lt;=RESUMO!$L$2:$L$100),
0)), "R$ ", ""))
))))</f>
        <v>21.1</v>
      </c>
      <c r="K408" s="9">
        <v>0</v>
      </c>
      <c r="L408" s="10">
        <f t="shared" si="66"/>
        <v>0.17088484848484842</v>
      </c>
      <c r="M408" s="7"/>
      <c r="N408" s="48"/>
      <c r="O408" s="78" cm="1">
        <f t="array" ref="O408">IF(M408&lt;12.5, 0,
IF(M408&lt;29, 6.25,
IF(M408&lt;50, 6.5,
IF(M408&lt;79, 6.75,
VALUE(SUBSTITUTE(
INDEX(RESUMO!$J$2:$J$100, MATCH(1,
(D408&gt;=RESUMO!$H$2:$H$100)*(D408&lt;=RESUMO!$I$2:$I$100)*(M408&gt;=RESUMO!$K$2:$K$100)*(M408&lt;=RESUMO!$L$2:$L$100),
0)), "R$ ", ""))
))))</f>
        <v>0</v>
      </c>
      <c r="P408" s="9"/>
      <c r="Q408" s="10" t="e">
        <f t="shared" si="67"/>
        <v>#DIV/0!</v>
      </c>
      <c r="R408" s="5">
        <f t="shared" si="68"/>
        <v>150.45519999999999</v>
      </c>
      <c r="S408" s="5">
        <f t="shared" si="69"/>
        <v>33.835199999999986</v>
      </c>
      <c r="T408" s="5">
        <f t="shared" si="70"/>
        <v>-4.6648000000000005</v>
      </c>
      <c r="U408" s="5">
        <f t="shared" si="71"/>
        <v>-121.2848</v>
      </c>
    </row>
    <row r="409" spans="1:21" x14ac:dyDescent="0.25">
      <c r="A409" s="11" t="s">
        <v>33</v>
      </c>
      <c r="B409" s="6" t="s">
        <v>467</v>
      </c>
      <c r="C409" s="9">
        <v>71.260000000000005</v>
      </c>
      <c r="D409" s="6">
        <v>0.5</v>
      </c>
      <c r="E409" s="8">
        <v>0.04</v>
      </c>
      <c r="F409" s="49">
        <v>0</v>
      </c>
      <c r="G409" s="9">
        <v>2</v>
      </c>
      <c r="H409" s="9">
        <v>129</v>
      </c>
      <c r="I409" s="48">
        <v>0.11</v>
      </c>
      <c r="J409" s="78" cm="1">
        <f t="array" ref="J409">IF(H409&lt;12.5, H409/2,
IF(H409&lt;29, 6.25,
IF(H409&lt;50, 6.5,
IF(H409&lt;79, 6.75,
VALUE(SUBSTITUTE(
INDEX(RESUMO!$J$2:$J$100, MATCH(1,
(D409&gt;=RESUMO!$H$2:$H$100)*(D409&lt;=RESUMO!$I$2:$I$100)*(H409&gt;=RESUMO!$K$2:$K$100)*(H409&lt;=RESUMO!$L$2:$L$100),
0)), "R$ ", ""))
))))</f>
        <v>17.16</v>
      </c>
      <c r="K409" s="9">
        <v>0</v>
      </c>
      <c r="L409" s="10">
        <f t="shared" si="66"/>
        <v>0.18247751937984502</v>
      </c>
      <c r="M409" s="7"/>
      <c r="N409" s="48"/>
      <c r="O409" s="78" cm="1">
        <f t="array" ref="O409">IF(M409&lt;12.5, 0,
IF(M409&lt;29, 6.25,
IF(M409&lt;50, 6.5,
IF(M409&lt;79, 6.75,
VALUE(SUBSTITUTE(
INDEX(RESUMO!$J$2:$J$100, MATCH(1,
(D409&gt;=RESUMO!$H$2:$H$100)*(D409&lt;=RESUMO!$I$2:$I$100)*(M409&gt;=RESUMO!$K$2:$K$100)*(M409&lt;=RESUMO!$L$2:$L$100),
0)), "R$ ", ""))
))))</f>
        <v>0</v>
      </c>
      <c r="P409" s="9"/>
      <c r="Q409" s="10" t="e">
        <f t="shared" si="67"/>
        <v>#DIV/0!</v>
      </c>
      <c r="R409" s="5">
        <f t="shared" si="68"/>
        <v>94.799600000000012</v>
      </c>
      <c r="S409" s="5">
        <f t="shared" si="69"/>
        <v>23.539600000000007</v>
      </c>
      <c r="T409" s="5">
        <f t="shared" si="70"/>
        <v>-2.8504</v>
      </c>
      <c r="U409" s="5">
        <f t="shared" si="71"/>
        <v>-74.110399999999998</v>
      </c>
    </row>
    <row r="410" spans="1:21" x14ac:dyDescent="0.25">
      <c r="A410" s="11" t="s">
        <v>33</v>
      </c>
      <c r="B410" s="6" t="s">
        <v>468</v>
      </c>
      <c r="C410" s="9">
        <v>71.260000000000005</v>
      </c>
      <c r="D410" s="6">
        <v>0.5</v>
      </c>
      <c r="E410" s="8">
        <v>0.04</v>
      </c>
      <c r="F410" s="49">
        <v>0</v>
      </c>
      <c r="G410" s="9">
        <v>2</v>
      </c>
      <c r="H410" s="9">
        <v>129</v>
      </c>
      <c r="I410" s="48">
        <v>0.11</v>
      </c>
      <c r="J410" s="78" cm="1">
        <f t="array" ref="J410">IF(H410&lt;12.5, H410/2,
IF(H410&lt;29, 6.25,
IF(H410&lt;50, 6.5,
IF(H410&lt;79, 6.75,
VALUE(SUBSTITUTE(
INDEX(RESUMO!$J$2:$J$100, MATCH(1,
(D410&gt;=RESUMO!$H$2:$H$100)*(D410&lt;=RESUMO!$I$2:$I$100)*(H410&gt;=RESUMO!$K$2:$K$100)*(H410&lt;=RESUMO!$L$2:$L$100),
0)), "R$ ", ""))
))))</f>
        <v>17.16</v>
      </c>
      <c r="K410" s="9">
        <v>0</v>
      </c>
      <c r="L410" s="10">
        <f t="shared" si="66"/>
        <v>0.18247751937984502</v>
      </c>
      <c r="M410" s="7"/>
      <c r="N410" s="48"/>
      <c r="O410" s="78" cm="1">
        <f t="array" ref="O410">IF(M410&lt;12.5, 0,
IF(M410&lt;29, 6.25,
IF(M410&lt;50, 6.5,
IF(M410&lt;79, 6.75,
VALUE(SUBSTITUTE(
INDEX(RESUMO!$J$2:$J$100, MATCH(1,
(D410&gt;=RESUMO!$H$2:$H$100)*(D410&lt;=RESUMO!$I$2:$I$100)*(M410&gt;=RESUMO!$K$2:$K$100)*(M410&lt;=RESUMO!$L$2:$L$100),
0)), "R$ ", ""))
))))</f>
        <v>0</v>
      </c>
      <c r="P410" s="9"/>
      <c r="Q410" s="10" t="e">
        <f t="shared" si="67"/>
        <v>#DIV/0!</v>
      </c>
      <c r="R410" s="5">
        <f t="shared" si="68"/>
        <v>94.799600000000012</v>
      </c>
      <c r="S410" s="5">
        <f t="shared" si="69"/>
        <v>23.539600000000007</v>
      </c>
      <c r="T410" s="5">
        <f t="shared" si="70"/>
        <v>-2.8504</v>
      </c>
      <c r="U410" s="5">
        <f t="shared" si="71"/>
        <v>-74.110399999999998</v>
      </c>
    </row>
    <row r="411" spans="1:21" x14ac:dyDescent="0.25">
      <c r="A411" s="11" t="s">
        <v>25</v>
      </c>
      <c r="B411" s="6" t="s">
        <v>469</v>
      </c>
      <c r="C411" s="9">
        <v>310.67</v>
      </c>
      <c r="D411" s="6">
        <v>9</v>
      </c>
      <c r="E411" s="8">
        <v>0.04</v>
      </c>
      <c r="F411" s="49">
        <v>0</v>
      </c>
      <c r="G411" s="9">
        <v>2</v>
      </c>
      <c r="H411" s="9">
        <v>520</v>
      </c>
      <c r="I411" s="48">
        <v>0.11</v>
      </c>
      <c r="J411" s="78" cm="1">
        <f t="array" ref="J411">IF(H411&lt;12.5, H411/2,
IF(H411&lt;29, 6.25,
IF(H411&lt;50, 6.5,
IF(H411&lt;79, 6.75,
VALUE(SUBSTITUTE(
INDEX(RESUMO!$J$2:$J$100, MATCH(1,
(D411&gt;=RESUMO!$H$2:$H$100)*(D411&lt;=RESUMO!$I$2:$I$100)*(H411&gt;=RESUMO!$K$2:$K$100)*(H411&lt;=RESUMO!$L$2:$L$100),
0)), "R$ ", ""))
))))</f>
        <v>44.45</v>
      </c>
      <c r="K411" s="9">
        <v>0</v>
      </c>
      <c r="L411" s="10">
        <f t="shared" si="66"/>
        <v>0.18317923076923076</v>
      </c>
      <c r="M411" s="7"/>
      <c r="N411" s="48"/>
      <c r="O411" s="78" cm="1">
        <f t="array" ref="O411">IF(M411&lt;12.5, 0,
IF(M411&lt;29, 6.25,
IF(M411&lt;50, 6.5,
IF(M411&lt;79, 6.75,
VALUE(SUBSTITUTE(
INDEX(RESUMO!$J$2:$J$100, MATCH(1,
(D411&gt;=RESUMO!$H$2:$H$100)*(D411&lt;=RESUMO!$I$2:$I$100)*(M411&gt;=RESUMO!$K$2:$K$100)*(M411&lt;=RESUMO!$L$2:$L$100),
0)), "R$ ", ""))
))))</f>
        <v>0</v>
      </c>
      <c r="P411" s="9"/>
      <c r="Q411" s="10" t="e">
        <f t="shared" si="67"/>
        <v>#DIV/0!</v>
      </c>
      <c r="R411" s="5">
        <f t="shared" si="68"/>
        <v>405.92320000000001</v>
      </c>
      <c r="S411" s="5">
        <f t="shared" si="69"/>
        <v>95.253199999999993</v>
      </c>
      <c r="T411" s="5">
        <f t="shared" si="70"/>
        <v>-12.4268</v>
      </c>
      <c r="U411" s="5">
        <f t="shared" si="71"/>
        <v>-323.09680000000003</v>
      </c>
    </row>
    <row r="412" spans="1:21" x14ac:dyDescent="0.25">
      <c r="A412" s="11" t="s">
        <v>25</v>
      </c>
      <c r="B412" s="6" t="s">
        <v>470</v>
      </c>
      <c r="C412" s="9">
        <v>116.67</v>
      </c>
      <c r="D412" s="6">
        <v>3</v>
      </c>
      <c r="E412" s="8">
        <v>0.04</v>
      </c>
      <c r="F412" s="49">
        <v>0</v>
      </c>
      <c r="G412" s="9">
        <v>2</v>
      </c>
      <c r="H412" s="9">
        <v>224.9</v>
      </c>
      <c r="I412" s="48">
        <v>0.11</v>
      </c>
      <c r="J412" s="78" cm="1">
        <f t="array" ref="J412">IF(H412&lt;12.5, H412/2,
IF(H412&lt;29, 6.25,
IF(H412&lt;50, 6.5,
IF(H412&lt;79, 6.75,
VALUE(SUBSTITUTE(
INDEX(RESUMO!$J$2:$J$100, MATCH(1,
(D412&gt;=RESUMO!$H$2:$H$100)*(D412&lt;=RESUMO!$I$2:$I$100)*(H412&gt;=RESUMO!$K$2:$K$100)*(H412&lt;=RESUMO!$L$2:$L$100),
0)), "R$ ", ""))
))))</f>
        <v>24.95</v>
      </c>
      <c r="K412" s="9">
        <v>0</v>
      </c>
      <c r="L412" s="10">
        <f t="shared" si="66"/>
        <v>0.23954735437972438</v>
      </c>
      <c r="M412" s="7"/>
      <c r="N412" s="48"/>
      <c r="O412" s="78" cm="1">
        <f t="array" ref="O412">IF(M412&lt;12.5, 0,
IF(M412&lt;29, 6.25,
IF(M412&lt;50, 6.5,
IF(M412&lt;79, 6.75,
VALUE(SUBSTITUTE(
INDEX(RESUMO!$J$2:$J$100, MATCH(1,
(D412&gt;=RESUMO!$H$2:$H$100)*(D412&lt;=RESUMO!$I$2:$I$100)*(M412&gt;=RESUMO!$K$2:$K$100)*(M412&lt;=RESUMO!$L$2:$L$100),
0)), "R$ ", ""))
))))</f>
        <v>0</v>
      </c>
      <c r="P412" s="9"/>
      <c r="Q412" s="10" t="e">
        <f t="shared" si="67"/>
        <v>#DIV/0!</v>
      </c>
      <c r="R412" s="5">
        <f t="shared" si="68"/>
        <v>170.54420000000002</v>
      </c>
      <c r="S412" s="5">
        <f t="shared" si="69"/>
        <v>53.874200000000016</v>
      </c>
      <c r="T412" s="5">
        <f t="shared" si="70"/>
        <v>-4.6668000000000003</v>
      </c>
      <c r="U412" s="5">
        <f t="shared" si="71"/>
        <v>-121.3368</v>
      </c>
    </row>
    <row r="413" spans="1:21" x14ac:dyDescent="0.25">
      <c r="A413" s="11" t="s">
        <v>33</v>
      </c>
      <c r="B413" s="6" t="s">
        <v>471</v>
      </c>
      <c r="C413" s="9">
        <v>109</v>
      </c>
      <c r="D413" s="6">
        <v>2</v>
      </c>
      <c r="E413" s="8">
        <v>0.04</v>
      </c>
      <c r="F413" s="49">
        <v>0</v>
      </c>
      <c r="G413" s="9">
        <v>2</v>
      </c>
      <c r="H413" s="9">
        <v>189.9</v>
      </c>
      <c r="I413" s="48">
        <v>0.11</v>
      </c>
      <c r="J413" s="78" cm="1">
        <f t="array" ref="J413">IF(H413&lt;12.5, H413/2,
IF(H413&lt;29, 6.25,
IF(H413&lt;50, 6.5,
IF(H413&lt;79, 6.75,
VALUE(SUBSTITUTE(
INDEX(RESUMO!$J$2:$J$100, MATCH(1,
(D413&gt;=RESUMO!$H$2:$H$100)*(D413&lt;=RESUMO!$I$2:$I$100)*(H413&gt;=RESUMO!$K$2:$K$100)*(H413&lt;=RESUMO!$L$2:$L$100),
0)), "R$ ", ""))
))))</f>
        <v>21.1</v>
      </c>
      <c r="K413" s="9">
        <v>0</v>
      </c>
      <c r="L413" s="10">
        <f t="shared" si="66"/>
        <v>0.18194312796208523</v>
      </c>
      <c r="M413" s="7"/>
      <c r="N413" s="48"/>
      <c r="O413" s="78" cm="1">
        <f t="array" ref="O413">IF(M413&lt;12.5, 0,
IF(M413&lt;29, 6.25,
IF(M413&lt;50, 6.5,
IF(M413&lt;79, 6.75,
VALUE(SUBSTITUTE(
INDEX(RESUMO!$J$2:$J$100, MATCH(1,
(D413&gt;=RESUMO!$H$2:$H$100)*(D413&lt;=RESUMO!$I$2:$I$100)*(M413&gt;=RESUMO!$K$2:$K$100)*(M413&lt;=RESUMO!$L$2:$L$100),
0)), "R$ ", ""))
))))</f>
        <v>0</v>
      </c>
      <c r="P413" s="9"/>
      <c r="Q413" s="10" t="e">
        <f t="shared" si="67"/>
        <v>#DIV/0!</v>
      </c>
      <c r="R413" s="5">
        <f t="shared" si="68"/>
        <v>143.55099999999999</v>
      </c>
      <c r="S413" s="5">
        <f t="shared" si="69"/>
        <v>34.550999999999988</v>
      </c>
      <c r="T413" s="5">
        <f t="shared" si="70"/>
        <v>-4.3600000000000003</v>
      </c>
      <c r="U413" s="5">
        <f t="shared" si="71"/>
        <v>-113.36</v>
      </c>
    </row>
    <row r="414" spans="1:21" x14ac:dyDescent="0.25">
      <c r="A414" s="11" t="s">
        <v>33</v>
      </c>
      <c r="B414" s="6" t="s">
        <v>472</v>
      </c>
      <c r="C414" s="9">
        <v>245.89</v>
      </c>
      <c r="D414" s="6">
        <v>5</v>
      </c>
      <c r="E414" s="8">
        <v>0.04</v>
      </c>
      <c r="F414" s="49">
        <v>0</v>
      </c>
      <c r="G414" s="9">
        <v>2</v>
      </c>
      <c r="H414" s="9">
        <v>399.9</v>
      </c>
      <c r="I414" s="48">
        <v>0.11</v>
      </c>
      <c r="J414" s="78" cm="1">
        <f t="array" ref="J414">IF(H414&lt;12.5, H414/2,
IF(H414&lt;29, 6.25,
IF(H414&lt;50, 6.5,
IF(H414&lt;79, 6.75,
VALUE(SUBSTITUTE(
INDEX(RESUMO!$J$2:$J$100, MATCH(1,
(D414&gt;=RESUMO!$H$2:$H$100)*(D414&lt;=RESUMO!$I$2:$I$100)*(H414&gt;=RESUMO!$K$2:$K$100)*(H414&lt;=RESUMO!$L$2:$L$100),
0)), "R$ ", ""))
))))</f>
        <v>28.45</v>
      </c>
      <c r="K414" s="9">
        <v>0</v>
      </c>
      <c r="L414" s="10">
        <f t="shared" si="66"/>
        <v>0.17938334583645918</v>
      </c>
      <c r="M414" s="7"/>
      <c r="N414" s="48"/>
      <c r="O414" s="78" cm="1">
        <f t="array" ref="O414">IF(M414&lt;12.5, 0,
IF(M414&lt;29, 6.25,
IF(M414&lt;50, 6.5,
IF(M414&lt;79, 6.75,
VALUE(SUBSTITUTE(
INDEX(RESUMO!$J$2:$J$100, MATCH(1,
(D414&gt;=RESUMO!$H$2:$H$100)*(D414&lt;=RESUMO!$I$2:$I$100)*(M414&gt;=RESUMO!$K$2:$K$100)*(M414&lt;=RESUMO!$L$2:$L$100),
0)), "R$ ", ""))
))))</f>
        <v>0</v>
      </c>
      <c r="P414" s="9"/>
      <c r="Q414" s="10" t="e">
        <f t="shared" si="67"/>
        <v>#DIV/0!</v>
      </c>
      <c r="R414" s="5">
        <f t="shared" si="68"/>
        <v>317.62540000000001</v>
      </c>
      <c r="S414" s="5">
        <f t="shared" si="69"/>
        <v>71.735400000000027</v>
      </c>
      <c r="T414" s="5">
        <f t="shared" si="70"/>
        <v>-9.8355999999999995</v>
      </c>
      <c r="U414" s="5">
        <f t="shared" si="71"/>
        <v>-255.72559999999999</v>
      </c>
    </row>
    <row r="415" spans="1:21" x14ac:dyDescent="0.25">
      <c r="A415" s="11" t="s">
        <v>33</v>
      </c>
      <c r="B415" s="6" t="s">
        <v>473</v>
      </c>
      <c r="C415" s="9">
        <v>245.89</v>
      </c>
      <c r="D415" s="6">
        <v>5</v>
      </c>
      <c r="E415" s="8">
        <v>0.04</v>
      </c>
      <c r="F415" s="49">
        <v>0</v>
      </c>
      <c r="G415" s="9">
        <v>2</v>
      </c>
      <c r="H415" s="9">
        <v>399.9</v>
      </c>
      <c r="I415" s="48">
        <v>0.11</v>
      </c>
      <c r="J415" s="78" cm="1">
        <f t="array" ref="J415">IF(H415&lt;12.5, H415/2,
IF(H415&lt;29, 6.25,
IF(H415&lt;50, 6.5,
IF(H415&lt;79, 6.75,
VALUE(SUBSTITUTE(
INDEX(RESUMO!$J$2:$J$100, MATCH(1,
(D415&gt;=RESUMO!$H$2:$H$100)*(D415&lt;=RESUMO!$I$2:$I$100)*(H415&gt;=RESUMO!$K$2:$K$100)*(H415&lt;=RESUMO!$L$2:$L$100),
0)), "R$ ", ""))
))))</f>
        <v>28.45</v>
      </c>
      <c r="K415" s="9">
        <v>0</v>
      </c>
      <c r="L415" s="10">
        <f t="shared" ref="L415:L445" si="72">S415/H415</f>
        <v>0.17938334583645918</v>
      </c>
      <c r="M415" s="7"/>
      <c r="N415" s="48"/>
      <c r="O415" s="78" cm="1">
        <f t="array" ref="O415">IF(M415&lt;12.5, 0,
IF(M415&lt;29, 6.25,
IF(M415&lt;50, 6.5,
IF(M415&lt;79, 6.75,
VALUE(SUBSTITUTE(
INDEX(RESUMO!$J$2:$J$100, MATCH(1,
(D415&gt;=RESUMO!$H$2:$H$100)*(D415&lt;=RESUMO!$I$2:$I$100)*(M415&gt;=RESUMO!$K$2:$K$100)*(M415&lt;=RESUMO!$L$2:$L$100),
0)), "R$ ", ""))
))))</f>
        <v>0</v>
      </c>
      <c r="P415" s="9"/>
      <c r="Q415" s="10" t="e">
        <f t="shared" ref="Q415:Q445" si="73">U415/M415</f>
        <v>#DIV/0!</v>
      </c>
      <c r="R415" s="5">
        <f t="shared" ref="R415:R445" si="74">(H415-(H415*I415)-J415-(C415*E415)+K415)</f>
        <v>317.62540000000001</v>
      </c>
      <c r="S415" s="5">
        <f t="shared" ref="S415:S445" si="75">R415-(C415-F415)</f>
        <v>71.735400000000027</v>
      </c>
      <c r="T415" s="5">
        <f t="shared" ref="T415:T445" si="76">(M415-(M415*N415)-O415-(C415*E415)+P415)</f>
        <v>-9.8355999999999995</v>
      </c>
      <c r="U415" s="5">
        <f t="shared" ref="U415:U445" si="77">T415-(C415-F415)</f>
        <v>-255.72559999999999</v>
      </c>
    </row>
    <row r="416" spans="1:21" x14ac:dyDescent="0.25">
      <c r="A416" s="11" t="s">
        <v>25</v>
      </c>
      <c r="B416" s="6" t="s">
        <v>474</v>
      </c>
      <c r="C416" s="9">
        <v>187.82</v>
      </c>
      <c r="D416" s="6">
        <v>5</v>
      </c>
      <c r="E416" s="8">
        <v>0.04</v>
      </c>
      <c r="F416" s="49">
        <v>0</v>
      </c>
      <c r="G416" s="9">
        <v>2</v>
      </c>
      <c r="H416" s="9">
        <v>315</v>
      </c>
      <c r="I416" s="48">
        <v>0.11</v>
      </c>
      <c r="J416" s="78" cm="1">
        <f t="array" ref="J416">IF(H416&lt;12.5, H416/2,
IF(H416&lt;29, 6.25,
IF(H416&lt;50, 6.5,
IF(H416&lt;79, 6.75,
VALUE(SUBSTITUTE(
INDEX(RESUMO!$J$2:$J$100, MATCH(1,
(D416&gt;=RESUMO!$H$2:$H$100)*(D416&lt;=RESUMO!$I$2:$I$100)*(H416&gt;=RESUMO!$K$2:$K$100)*(H416&lt;=RESUMO!$L$2:$L$100),
0)), "R$ ", ""))
))))</f>
        <v>28.45</v>
      </c>
      <c r="K416" s="9">
        <v>0</v>
      </c>
      <c r="L416" s="10">
        <f t="shared" si="72"/>
        <v>0.17957841269841282</v>
      </c>
      <c r="M416" s="7"/>
      <c r="N416" s="48"/>
      <c r="O416" s="78" cm="1">
        <f t="array" ref="O416">IF(M416&lt;12.5, 0,
IF(M416&lt;29, 6.25,
IF(M416&lt;50, 6.5,
IF(M416&lt;79, 6.75,
VALUE(SUBSTITUTE(
INDEX(RESUMO!$J$2:$J$100, MATCH(1,
(D416&gt;=RESUMO!$H$2:$H$100)*(D416&lt;=RESUMO!$I$2:$I$100)*(M416&gt;=RESUMO!$K$2:$K$100)*(M416&lt;=RESUMO!$L$2:$L$100),
0)), "R$ ", ""))
))))</f>
        <v>0</v>
      </c>
      <c r="P416" s="9"/>
      <c r="Q416" s="10" t="e">
        <f t="shared" si="73"/>
        <v>#DIV/0!</v>
      </c>
      <c r="R416" s="5">
        <f t="shared" si="74"/>
        <v>244.38720000000004</v>
      </c>
      <c r="S416" s="5">
        <f t="shared" si="75"/>
        <v>56.567200000000042</v>
      </c>
      <c r="T416" s="5">
        <f t="shared" si="76"/>
        <v>-7.5127999999999995</v>
      </c>
      <c r="U416" s="5">
        <f t="shared" si="77"/>
        <v>-195.33279999999999</v>
      </c>
    </row>
    <row r="417" spans="1:21" x14ac:dyDescent="0.25">
      <c r="A417" s="11" t="s">
        <v>25</v>
      </c>
      <c r="B417" s="6" t="s">
        <v>475</v>
      </c>
      <c r="C417" s="9">
        <v>187.82</v>
      </c>
      <c r="D417" s="6">
        <v>5</v>
      </c>
      <c r="E417" s="8">
        <v>0.04</v>
      </c>
      <c r="F417" s="49">
        <v>0</v>
      </c>
      <c r="G417" s="9">
        <v>2</v>
      </c>
      <c r="H417" s="9">
        <v>315</v>
      </c>
      <c r="I417" s="48">
        <v>0.11</v>
      </c>
      <c r="J417" s="78" cm="1">
        <f t="array" ref="J417">IF(H417&lt;12.5, H417/2,
IF(H417&lt;29, 6.25,
IF(H417&lt;50, 6.5,
IF(H417&lt;79, 6.75,
VALUE(SUBSTITUTE(
INDEX(RESUMO!$J$2:$J$100, MATCH(1,
(D417&gt;=RESUMO!$H$2:$H$100)*(D417&lt;=RESUMO!$I$2:$I$100)*(H417&gt;=RESUMO!$K$2:$K$100)*(H417&lt;=RESUMO!$L$2:$L$100),
0)), "R$ ", ""))
))))</f>
        <v>28.45</v>
      </c>
      <c r="K417" s="9">
        <v>0</v>
      </c>
      <c r="L417" s="10">
        <f t="shared" si="72"/>
        <v>0.17957841269841282</v>
      </c>
      <c r="M417" s="7"/>
      <c r="N417" s="48"/>
      <c r="O417" s="78" cm="1">
        <f t="array" ref="O417">IF(M417&lt;12.5, 0,
IF(M417&lt;29, 6.25,
IF(M417&lt;50, 6.5,
IF(M417&lt;79, 6.75,
VALUE(SUBSTITUTE(
INDEX(RESUMO!$J$2:$J$100, MATCH(1,
(D417&gt;=RESUMO!$H$2:$H$100)*(D417&lt;=RESUMO!$I$2:$I$100)*(M417&gt;=RESUMO!$K$2:$K$100)*(M417&lt;=RESUMO!$L$2:$L$100),
0)), "R$ ", ""))
))))</f>
        <v>0</v>
      </c>
      <c r="P417" s="9"/>
      <c r="Q417" s="10" t="e">
        <f t="shared" si="73"/>
        <v>#DIV/0!</v>
      </c>
      <c r="R417" s="5">
        <f t="shared" si="74"/>
        <v>244.38720000000004</v>
      </c>
      <c r="S417" s="5">
        <f t="shared" si="75"/>
        <v>56.567200000000042</v>
      </c>
      <c r="T417" s="5">
        <f t="shared" si="76"/>
        <v>-7.5127999999999995</v>
      </c>
      <c r="U417" s="5">
        <f t="shared" si="77"/>
        <v>-195.33279999999999</v>
      </c>
    </row>
    <row r="418" spans="1:21" x14ac:dyDescent="0.25">
      <c r="A418" s="11" t="s">
        <v>33</v>
      </c>
      <c r="B418" s="6" t="s">
        <v>476</v>
      </c>
      <c r="C418" s="9">
        <v>39.22</v>
      </c>
      <c r="D418" s="6">
        <v>1</v>
      </c>
      <c r="E418" s="8">
        <v>0.04</v>
      </c>
      <c r="F418" s="49">
        <v>0</v>
      </c>
      <c r="G418" s="9">
        <v>2</v>
      </c>
      <c r="H418" s="9">
        <v>68</v>
      </c>
      <c r="I418" s="48">
        <v>0.12</v>
      </c>
      <c r="J418" s="78" cm="1">
        <f t="array" ref="J418">IF(H418&lt;12.5, H418/2,
IF(H418&lt;29, 6.25,
IF(H418&lt;50, 6.5,
IF(H418&lt;79, 6.75,
VALUE(SUBSTITUTE(
INDEX(RESUMO!$J$2:$J$100, MATCH(1,
(D418&gt;=RESUMO!$H$2:$H$100)*(D418&lt;=RESUMO!$I$2:$I$100)*(H418&gt;=RESUMO!$K$2:$K$100)*(H418&lt;=RESUMO!$L$2:$L$100),
0)), "R$ ", ""))
))))</f>
        <v>6.75</v>
      </c>
      <c r="K418" s="9">
        <v>0</v>
      </c>
      <c r="L418" s="10">
        <f t="shared" si="72"/>
        <v>0.18090000000000003</v>
      </c>
      <c r="M418" s="7"/>
      <c r="N418" s="48"/>
      <c r="O418" s="78" cm="1">
        <f t="array" ref="O418">IF(M418&lt;12.5, 0,
IF(M418&lt;29, 6.25,
IF(M418&lt;50, 6.5,
IF(M418&lt;79, 6.75,
VALUE(SUBSTITUTE(
INDEX(RESUMO!$J$2:$J$100, MATCH(1,
(D418&gt;=RESUMO!$H$2:$H$100)*(D418&lt;=RESUMO!$I$2:$I$100)*(M418&gt;=RESUMO!$K$2:$K$100)*(M418&lt;=RESUMO!$L$2:$L$100),
0)), "R$ ", ""))
))))</f>
        <v>0</v>
      </c>
      <c r="P418" s="9"/>
      <c r="Q418" s="10" t="e">
        <f t="shared" si="73"/>
        <v>#DIV/0!</v>
      </c>
      <c r="R418" s="5">
        <f t="shared" si="74"/>
        <v>51.5212</v>
      </c>
      <c r="S418" s="5">
        <f t="shared" si="75"/>
        <v>12.301200000000001</v>
      </c>
      <c r="T418" s="5">
        <f t="shared" si="76"/>
        <v>-1.5688</v>
      </c>
      <c r="U418" s="5">
        <f t="shared" si="77"/>
        <v>-40.788800000000002</v>
      </c>
    </row>
    <row r="419" spans="1:21" x14ac:dyDescent="0.25">
      <c r="A419" s="11" t="s">
        <v>25</v>
      </c>
      <c r="B419" s="6" t="s">
        <v>477</v>
      </c>
      <c r="C419" s="9">
        <v>43.19</v>
      </c>
      <c r="D419" s="6">
        <v>1</v>
      </c>
      <c r="E419" s="8">
        <v>0.04</v>
      </c>
      <c r="F419" s="49">
        <v>0</v>
      </c>
      <c r="G419" s="9">
        <v>2</v>
      </c>
      <c r="H419" s="9">
        <v>73</v>
      </c>
      <c r="I419" s="48">
        <v>0.11</v>
      </c>
      <c r="J419" s="78" cm="1">
        <f t="array" ref="J419">IF(H419&lt;12.5, H419/2,
IF(H419&lt;29, 6.25,
IF(H419&lt;50, 6.5,
IF(H419&lt;79, 6.75,
VALUE(SUBSTITUTE(
INDEX(RESUMO!$J$2:$J$100, MATCH(1,
(D419&gt;=RESUMO!$H$2:$H$100)*(D419&lt;=RESUMO!$I$2:$I$100)*(H419&gt;=RESUMO!$K$2:$K$100)*(H419&lt;=RESUMO!$L$2:$L$100),
0)), "R$ ", ""))
))))</f>
        <v>6.75</v>
      </c>
      <c r="K419" s="9">
        <v>0</v>
      </c>
      <c r="L419" s="10">
        <f t="shared" si="72"/>
        <v>0.18222465753424655</v>
      </c>
      <c r="M419" s="7"/>
      <c r="N419" s="48"/>
      <c r="O419" s="78" cm="1">
        <f t="array" ref="O419">IF(M419&lt;12.5, 0,
IF(M419&lt;29, 6.25,
IF(M419&lt;50, 6.5,
IF(M419&lt;79, 6.75,
VALUE(SUBSTITUTE(
INDEX(RESUMO!$J$2:$J$100, MATCH(1,
(D419&gt;=RESUMO!$H$2:$H$100)*(D419&lt;=RESUMO!$I$2:$I$100)*(M419&gt;=RESUMO!$K$2:$K$100)*(M419&lt;=RESUMO!$L$2:$L$100),
0)), "R$ ", ""))
))))</f>
        <v>0</v>
      </c>
      <c r="P419" s="9"/>
      <c r="Q419" s="10" t="e">
        <f t="shared" si="73"/>
        <v>#DIV/0!</v>
      </c>
      <c r="R419" s="5">
        <f t="shared" si="74"/>
        <v>56.492399999999996</v>
      </c>
      <c r="S419" s="5">
        <f t="shared" si="75"/>
        <v>13.302399999999999</v>
      </c>
      <c r="T419" s="5">
        <f t="shared" si="76"/>
        <v>-1.7276</v>
      </c>
      <c r="U419" s="5">
        <f t="shared" si="77"/>
        <v>-44.9176</v>
      </c>
    </row>
    <row r="420" spans="1:21" x14ac:dyDescent="0.25">
      <c r="A420" s="11" t="s">
        <v>25</v>
      </c>
      <c r="B420" s="6" t="s">
        <v>478</v>
      </c>
      <c r="C420" s="9">
        <v>49.66</v>
      </c>
      <c r="D420" s="6">
        <v>1</v>
      </c>
      <c r="E420" s="8">
        <v>0.04</v>
      </c>
      <c r="F420" s="49">
        <v>0</v>
      </c>
      <c r="G420" s="9">
        <v>2</v>
      </c>
      <c r="H420" s="9">
        <v>92</v>
      </c>
      <c r="I420" s="48">
        <v>0.11</v>
      </c>
      <c r="J420" s="78" cm="1">
        <f t="array" ref="J420">IF(H420&lt;12.5, H420/2,
IF(H420&lt;29, 6.25,
IF(H420&lt;50, 6.5,
IF(H420&lt;79, 6.75,
VALUE(SUBSTITUTE(
INDEX(RESUMO!$J$2:$J$100, MATCH(1,
(D420&gt;=RESUMO!$H$2:$H$100)*(D420&lt;=RESUMO!$I$2:$I$100)*(H420&gt;=RESUMO!$K$2:$K$100)*(H420&lt;=RESUMO!$L$2:$L$100),
0)), "R$ ", ""))
))))</f>
        <v>13.47</v>
      </c>
      <c r="K420" s="9">
        <v>0</v>
      </c>
      <c r="L420" s="10">
        <f t="shared" si="72"/>
        <v>0.18221304347826084</v>
      </c>
      <c r="M420" s="7"/>
      <c r="N420" s="48"/>
      <c r="O420" s="78" cm="1">
        <f t="array" ref="O420">IF(M420&lt;12.5, 0,
IF(M420&lt;29, 6.25,
IF(M420&lt;50, 6.5,
IF(M420&lt;79, 6.75,
VALUE(SUBSTITUTE(
INDEX(RESUMO!$J$2:$J$100, MATCH(1,
(D420&gt;=RESUMO!$H$2:$H$100)*(D420&lt;=RESUMO!$I$2:$I$100)*(M420&gt;=RESUMO!$K$2:$K$100)*(M420&lt;=RESUMO!$L$2:$L$100),
0)), "R$ ", ""))
))))</f>
        <v>0</v>
      </c>
      <c r="P420" s="9"/>
      <c r="Q420" s="10" t="e">
        <f t="shared" si="73"/>
        <v>#DIV/0!</v>
      </c>
      <c r="R420" s="5">
        <f t="shared" si="74"/>
        <v>66.423599999999993</v>
      </c>
      <c r="S420" s="5">
        <f t="shared" si="75"/>
        <v>16.763599999999997</v>
      </c>
      <c r="T420" s="5">
        <f t="shared" si="76"/>
        <v>-1.9863999999999999</v>
      </c>
      <c r="U420" s="5">
        <f t="shared" si="77"/>
        <v>-51.6464</v>
      </c>
    </row>
    <row r="421" spans="1:21" x14ac:dyDescent="0.25">
      <c r="A421" s="11" t="s">
        <v>25</v>
      </c>
      <c r="B421" s="6" t="s">
        <v>479</v>
      </c>
      <c r="C421" s="9">
        <v>49.66</v>
      </c>
      <c r="D421" s="6">
        <v>1</v>
      </c>
      <c r="E421" s="8">
        <v>0.04</v>
      </c>
      <c r="F421" s="49">
        <v>0</v>
      </c>
      <c r="G421" s="9">
        <v>2</v>
      </c>
      <c r="H421" s="9">
        <v>92</v>
      </c>
      <c r="I421" s="48">
        <v>0.11</v>
      </c>
      <c r="J421" s="78" cm="1">
        <f t="array" ref="J421">IF(H421&lt;12.5, H421/2,
IF(H421&lt;29, 6.25,
IF(H421&lt;50, 6.5,
IF(H421&lt;79, 6.75,
VALUE(SUBSTITUTE(
INDEX(RESUMO!$J$2:$J$100, MATCH(1,
(D421&gt;=RESUMO!$H$2:$H$100)*(D421&lt;=RESUMO!$I$2:$I$100)*(H421&gt;=RESUMO!$K$2:$K$100)*(H421&lt;=RESUMO!$L$2:$L$100),
0)), "R$ ", ""))
))))</f>
        <v>13.47</v>
      </c>
      <c r="K421" s="9">
        <v>0</v>
      </c>
      <c r="L421" s="10">
        <f t="shared" si="72"/>
        <v>0.18221304347826084</v>
      </c>
      <c r="M421" s="7"/>
      <c r="N421" s="48"/>
      <c r="O421" s="78" cm="1">
        <f t="array" ref="O421">IF(M421&lt;12.5, 0,
IF(M421&lt;29, 6.25,
IF(M421&lt;50, 6.5,
IF(M421&lt;79, 6.75,
VALUE(SUBSTITUTE(
INDEX(RESUMO!$J$2:$J$100, MATCH(1,
(D421&gt;=RESUMO!$H$2:$H$100)*(D421&lt;=RESUMO!$I$2:$I$100)*(M421&gt;=RESUMO!$K$2:$K$100)*(M421&lt;=RESUMO!$L$2:$L$100),
0)), "R$ ", ""))
))))</f>
        <v>0</v>
      </c>
      <c r="P421" s="9"/>
      <c r="Q421" s="10" t="e">
        <f t="shared" si="73"/>
        <v>#DIV/0!</v>
      </c>
      <c r="R421" s="5">
        <f t="shared" si="74"/>
        <v>66.423599999999993</v>
      </c>
      <c r="S421" s="5">
        <f t="shared" si="75"/>
        <v>16.763599999999997</v>
      </c>
      <c r="T421" s="5">
        <f t="shared" si="76"/>
        <v>-1.9863999999999999</v>
      </c>
      <c r="U421" s="5">
        <f t="shared" si="77"/>
        <v>-51.6464</v>
      </c>
    </row>
    <row r="422" spans="1:21" x14ac:dyDescent="0.25">
      <c r="A422" s="11" t="s">
        <v>33</v>
      </c>
      <c r="B422" s="6" t="s">
        <v>480</v>
      </c>
      <c r="C422" s="9">
        <v>71.53</v>
      </c>
      <c r="D422" s="6">
        <v>1</v>
      </c>
      <c r="E422" s="8">
        <v>0.04</v>
      </c>
      <c r="F422" s="49">
        <v>0</v>
      </c>
      <c r="G422" s="9">
        <v>2</v>
      </c>
      <c r="H422" s="9">
        <v>129.9</v>
      </c>
      <c r="I422" s="48">
        <v>0.11</v>
      </c>
      <c r="J422" s="78" cm="1">
        <f t="array" ref="J422">IF(H422&lt;12.5, H422/2,
IF(H422&lt;29, 6.25,
IF(H422&lt;50, 6.5,
IF(H422&lt;79, 6.75,
VALUE(SUBSTITUTE(
INDEX(RESUMO!$J$2:$J$100, MATCH(1,
(D422&gt;=RESUMO!$H$2:$H$100)*(D422&lt;=RESUMO!$I$2:$I$100)*(H422&gt;=RESUMO!$K$2:$K$100)*(H422&lt;=RESUMO!$L$2:$L$100),
0)), "R$ ", ""))
))))</f>
        <v>17.95</v>
      </c>
      <c r="K422" s="9">
        <v>0</v>
      </c>
      <c r="L422" s="10">
        <f t="shared" si="72"/>
        <v>0.17913625866050811</v>
      </c>
      <c r="M422" s="7"/>
      <c r="N422" s="48"/>
      <c r="O422" s="78" cm="1">
        <f t="array" ref="O422">IF(M422&lt;12.5, 0,
IF(M422&lt;29, 6.25,
IF(M422&lt;50, 6.5,
IF(M422&lt;79, 6.75,
VALUE(SUBSTITUTE(
INDEX(RESUMO!$J$2:$J$100, MATCH(1,
(D422&gt;=RESUMO!$H$2:$H$100)*(D422&lt;=RESUMO!$I$2:$I$100)*(M422&gt;=RESUMO!$K$2:$K$100)*(M422&lt;=RESUMO!$L$2:$L$100),
0)), "R$ ", ""))
))))</f>
        <v>0</v>
      </c>
      <c r="P422" s="9"/>
      <c r="Q422" s="10" t="e">
        <f t="shared" si="73"/>
        <v>#DIV/0!</v>
      </c>
      <c r="R422" s="5">
        <f t="shared" si="74"/>
        <v>94.799800000000005</v>
      </c>
      <c r="S422" s="5">
        <f t="shared" si="75"/>
        <v>23.269800000000004</v>
      </c>
      <c r="T422" s="5">
        <f t="shared" si="76"/>
        <v>-2.8612000000000002</v>
      </c>
      <c r="U422" s="5">
        <f t="shared" si="77"/>
        <v>-74.391199999999998</v>
      </c>
    </row>
    <row r="423" spans="1:21" x14ac:dyDescent="0.25">
      <c r="A423" s="11" t="s">
        <v>33</v>
      </c>
      <c r="B423" s="6" t="s">
        <v>481</v>
      </c>
      <c r="C423" s="9">
        <v>109</v>
      </c>
      <c r="D423" s="6">
        <v>2</v>
      </c>
      <c r="E423" s="8">
        <v>0.04</v>
      </c>
      <c r="F423" s="49">
        <v>0</v>
      </c>
      <c r="G423" s="9">
        <v>2</v>
      </c>
      <c r="H423" s="9">
        <v>189.9</v>
      </c>
      <c r="I423" s="48">
        <v>0.11</v>
      </c>
      <c r="J423" s="78" cm="1">
        <f t="array" ref="J423">IF(H423&lt;12.5, H423/2,
IF(H423&lt;29, 6.25,
IF(H423&lt;50, 6.5,
IF(H423&lt;79, 6.75,
VALUE(SUBSTITUTE(
INDEX(RESUMO!$J$2:$J$100, MATCH(1,
(D423&gt;=RESUMO!$H$2:$H$100)*(D423&lt;=RESUMO!$I$2:$I$100)*(H423&gt;=RESUMO!$K$2:$K$100)*(H423&lt;=RESUMO!$L$2:$L$100),
0)), "R$ ", ""))
))))</f>
        <v>21.1</v>
      </c>
      <c r="K423" s="9">
        <v>0</v>
      </c>
      <c r="L423" s="10">
        <f t="shared" si="72"/>
        <v>0.18194312796208523</v>
      </c>
      <c r="M423" s="7"/>
      <c r="N423" s="48"/>
      <c r="O423" s="78" cm="1">
        <f t="array" ref="O423">IF(M423&lt;12.5, 0,
IF(M423&lt;29, 6.25,
IF(M423&lt;50, 6.5,
IF(M423&lt;79, 6.75,
VALUE(SUBSTITUTE(
INDEX(RESUMO!$J$2:$J$100, MATCH(1,
(D423&gt;=RESUMO!$H$2:$H$100)*(D423&lt;=RESUMO!$I$2:$I$100)*(M423&gt;=RESUMO!$K$2:$K$100)*(M423&lt;=RESUMO!$L$2:$L$100),
0)), "R$ ", ""))
))))</f>
        <v>0</v>
      </c>
      <c r="P423" s="9"/>
      <c r="Q423" s="10" t="e">
        <f t="shared" si="73"/>
        <v>#DIV/0!</v>
      </c>
      <c r="R423" s="5">
        <f t="shared" si="74"/>
        <v>143.55099999999999</v>
      </c>
      <c r="S423" s="5">
        <f t="shared" si="75"/>
        <v>34.550999999999988</v>
      </c>
      <c r="T423" s="5">
        <f t="shared" si="76"/>
        <v>-4.3600000000000003</v>
      </c>
      <c r="U423" s="5">
        <f t="shared" si="77"/>
        <v>-113.36</v>
      </c>
    </row>
    <row r="424" spans="1:21" x14ac:dyDescent="0.25">
      <c r="A424" s="11" t="s">
        <v>33</v>
      </c>
      <c r="B424" s="6" t="s">
        <v>482</v>
      </c>
      <c r="C424" s="9">
        <v>152.66</v>
      </c>
      <c r="D424" s="6">
        <v>3</v>
      </c>
      <c r="E424" s="8">
        <v>0.04</v>
      </c>
      <c r="F424" s="49">
        <v>0</v>
      </c>
      <c r="G424" s="9">
        <v>2</v>
      </c>
      <c r="H424" s="9">
        <v>265</v>
      </c>
      <c r="I424" s="48">
        <v>0.115</v>
      </c>
      <c r="J424" s="78" cm="1">
        <f t="array" ref="J424">IF(H424&lt;12.5, H424/2,
IF(H424&lt;29, 6.25,
IF(H424&lt;50, 6.5,
IF(H424&lt;79, 6.75,
VALUE(SUBSTITUTE(
INDEX(RESUMO!$J$2:$J$100, MATCH(1,
(D424&gt;=RESUMO!$H$2:$H$100)*(D424&lt;=RESUMO!$I$2:$I$100)*(H424&gt;=RESUMO!$K$2:$K$100)*(H424&lt;=RESUMO!$L$2:$L$100),
0)), "R$ ", ""))
))))</f>
        <v>24.95</v>
      </c>
      <c r="K424" s="9">
        <v>0</v>
      </c>
      <c r="L424" s="10">
        <f t="shared" si="72"/>
        <v>0.19173056603773589</v>
      </c>
      <c r="M424" s="7"/>
      <c r="N424" s="48"/>
      <c r="O424" s="78" cm="1">
        <f t="array" ref="O424">IF(M424&lt;12.5, 0,
IF(M424&lt;29, 6.25,
IF(M424&lt;50, 6.5,
IF(M424&lt;79, 6.75,
VALUE(SUBSTITUTE(
INDEX(RESUMO!$J$2:$J$100, MATCH(1,
(D424&gt;=RESUMO!$H$2:$H$100)*(D424&lt;=RESUMO!$I$2:$I$100)*(M424&gt;=RESUMO!$K$2:$K$100)*(M424&lt;=RESUMO!$L$2:$L$100),
0)), "R$ ", ""))
))))</f>
        <v>0</v>
      </c>
      <c r="P424" s="9"/>
      <c r="Q424" s="10" t="e">
        <f t="shared" si="73"/>
        <v>#DIV/0!</v>
      </c>
      <c r="R424" s="5">
        <f t="shared" si="74"/>
        <v>203.46860000000001</v>
      </c>
      <c r="S424" s="5">
        <f t="shared" si="75"/>
        <v>50.808600000000013</v>
      </c>
      <c r="T424" s="5">
        <f t="shared" si="76"/>
        <v>-6.1063999999999998</v>
      </c>
      <c r="U424" s="5">
        <f t="shared" si="77"/>
        <v>-158.7664</v>
      </c>
    </row>
    <row r="425" spans="1:21" x14ac:dyDescent="0.25">
      <c r="A425" s="11" t="s">
        <v>33</v>
      </c>
      <c r="B425" s="6" t="s">
        <v>485</v>
      </c>
      <c r="C425" s="9">
        <v>152.66</v>
      </c>
      <c r="D425" s="6">
        <v>3</v>
      </c>
      <c r="E425" s="8">
        <v>0.04</v>
      </c>
      <c r="F425" s="49">
        <v>0</v>
      </c>
      <c r="G425" s="9">
        <v>2</v>
      </c>
      <c r="H425" s="9">
        <v>265</v>
      </c>
      <c r="I425" s="48">
        <v>0.115</v>
      </c>
      <c r="J425" s="78" cm="1">
        <f t="array" ref="J425">IF(H425&lt;12.5, H425/2,
IF(H425&lt;29, 6.25,
IF(H425&lt;50, 6.5,
IF(H425&lt;79, 6.75,
VALUE(SUBSTITUTE(
INDEX(RESUMO!$J$2:$J$100, MATCH(1,
(D425&gt;=RESUMO!$H$2:$H$100)*(D425&lt;=RESUMO!$I$2:$I$100)*(H425&gt;=RESUMO!$K$2:$K$100)*(H425&lt;=RESUMO!$L$2:$L$100),
0)), "R$ ", ""))
))))</f>
        <v>24.95</v>
      </c>
      <c r="K425" s="9">
        <v>0</v>
      </c>
      <c r="L425" s="10">
        <f t="shared" si="72"/>
        <v>0.19173056603773589</v>
      </c>
      <c r="M425" s="7"/>
      <c r="N425" s="48"/>
      <c r="O425" s="78" cm="1">
        <f t="array" ref="O425">IF(M425&lt;12.5, 0,
IF(M425&lt;29, 6.25,
IF(M425&lt;50, 6.5,
IF(M425&lt;79, 6.75,
VALUE(SUBSTITUTE(
INDEX(RESUMO!$J$2:$J$100, MATCH(1,
(D425&gt;=RESUMO!$H$2:$H$100)*(D425&lt;=RESUMO!$I$2:$I$100)*(M425&gt;=RESUMO!$K$2:$K$100)*(M425&lt;=RESUMO!$L$2:$L$100),
0)), "R$ ", ""))
))))</f>
        <v>0</v>
      </c>
      <c r="P425" s="9"/>
      <c r="Q425" s="10" t="e">
        <f t="shared" si="73"/>
        <v>#DIV/0!</v>
      </c>
      <c r="R425" s="5">
        <f t="shared" si="74"/>
        <v>203.46860000000001</v>
      </c>
      <c r="S425" s="5">
        <f t="shared" si="75"/>
        <v>50.808600000000013</v>
      </c>
      <c r="T425" s="5">
        <f t="shared" si="76"/>
        <v>-6.1063999999999998</v>
      </c>
      <c r="U425" s="5">
        <f t="shared" si="77"/>
        <v>-158.7664</v>
      </c>
    </row>
    <row r="426" spans="1:21" x14ac:dyDescent="0.25">
      <c r="A426" s="11" t="s">
        <v>33</v>
      </c>
      <c r="B426" s="6" t="s">
        <v>483</v>
      </c>
      <c r="C426" s="9">
        <v>164.47</v>
      </c>
      <c r="D426" s="6">
        <v>5</v>
      </c>
      <c r="E426" s="8">
        <v>0.04</v>
      </c>
      <c r="F426" s="49">
        <v>0</v>
      </c>
      <c r="G426" s="9">
        <v>1</v>
      </c>
      <c r="H426" s="9">
        <v>289</v>
      </c>
      <c r="I426" s="48">
        <v>0.11</v>
      </c>
      <c r="J426" s="78" cm="1">
        <f t="array" ref="J426">IF(H426&lt;12.5, H426/2,
IF(H426&lt;29, 6.25,
IF(H426&lt;50, 6.5,
IF(H426&lt;79, 6.75,
VALUE(SUBSTITUTE(
INDEX(RESUMO!$J$2:$J$100, MATCH(1,
(D426&gt;=RESUMO!$H$2:$H$100)*(D426&lt;=RESUMO!$I$2:$I$100)*(H426&gt;=RESUMO!$K$2:$K$100)*(H426&lt;=RESUMO!$L$2:$L$100),
0)), "R$ ", ""))
))))</f>
        <v>28.45</v>
      </c>
      <c r="K426" s="9">
        <v>0</v>
      </c>
      <c r="L426" s="10">
        <f t="shared" si="72"/>
        <v>0.19969273356401382</v>
      </c>
      <c r="M426" s="7"/>
      <c r="N426" s="48"/>
      <c r="O426" s="78" cm="1">
        <f t="array" ref="O426">IF(M426&lt;12.5, 0,
IF(M426&lt;29, 6.25,
IF(M426&lt;50, 6.5,
IF(M426&lt;79, 6.75,
VALUE(SUBSTITUTE(
INDEX(RESUMO!$J$2:$J$100, MATCH(1,
(D426&gt;=RESUMO!$H$2:$H$100)*(D426&lt;=RESUMO!$I$2:$I$100)*(M426&gt;=RESUMO!$K$2:$K$100)*(M426&lt;=RESUMO!$L$2:$L$100),
0)), "R$ ", ""))
))))</f>
        <v>0</v>
      </c>
      <c r="P426" s="9"/>
      <c r="Q426" s="10" t="e">
        <f t="shared" si="73"/>
        <v>#DIV/0!</v>
      </c>
      <c r="R426" s="5">
        <f t="shared" si="74"/>
        <v>222.18119999999999</v>
      </c>
      <c r="S426" s="5">
        <f t="shared" si="75"/>
        <v>57.711199999999991</v>
      </c>
      <c r="T426" s="5">
        <f t="shared" si="76"/>
        <v>-6.5788000000000002</v>
      </c>
      <c r="U426" s="5">
        <f t="shared" si="77"/>
        <v>-171.0488</v>
      </c>
    </row>
    <row r="427" spans="1:21" x14ac:dyDescent="0.25">
      <c r="A427" s="11" t="s">
        <v>33</v>
      </c>
      <c r="B427" s="6" t="s">
        <v>484</v>
      </c>
      <c r="C427" s="9">
        <v>175.43</v>
      </c>
      <c r="D427" s="6">
        <v>5</v>
      </c>
      <c r="E427" s="8">
        <v>0.04</v>
      </c>
      <c r="F427" s="49">
        <v>0</v>
      </c>
      <c r="G427" s="9">
        <v>1</v>
      </c>
      <c r="H427" s="9">
        <v>299</v>
      </c>
      <c r="I427" s="48">
        <v>0.11</v>
      </c>
      <c r="J427" s="78" cm="1">
        <f t="array" ref="J427">IF(H427&lt;12.5, H427/2,
IF(H427&lt;29, 6.25,
IF(H427&lt;50, 6.5,
IF(H427&lt;79, 6.75,
VALUE(SUBSTITUTE(
INDEX(RESUMO!$J$2:$J$100, MATCH(1,
(D427&gt;=RESUMO!$H$2:$H$100)*(D427&lt;=RESUMO!$I$2:$I$100)*(H427&gt;=RESUMO!$K$2:$K$100)*(H427&lt;=RESUMO!$L$2:$L$100),
0)), "R$ ", ""))
))))</f>
        <v>28.45</v>
      </c>
      <c r="K427" s="9">
        <v>0</v>
      </c>
      <c r="L427" s="10">
        <f t="shared" si="72"/>
        <v>0.18465819397993316</v>
      </c>
      <c r="M427" s="7"/>
      <c r="N427" s="48"/>
      <c r="O427" s="78" cm="1">
        <f t="array" ref="O427">IF(M427&lt;12.5, 0,
IF(M427&lt;29, 6.25,
IF(M427&lt;50, 6.5,
IF(M427&lt;79, 6.75,
VALUE(SUBSTITUTE(
INDEX(RESUMO!$J$2:$J$100, MATCH(1,
(D427&gt;=RESUMO!$H$2:$H$100)*(D427&lt;=RESUMO!$I$2:$I$100)*(M427&gt;=RESUMO!$K$2:$K$100)*(M427&lt;=RESUMO!$L$2:$L$100),
0)), "R$ ", ""))
))))</f>
        <v>0</v>
      </c>
      <c r="P427" s="9"/>
      <c r="Q427" s="10" t="e">
        <f t="shared" si="73"/>
        <v>#DIV/0!</v>
      </c>
      <c r="R427" s="5">
        <f t="shared" si="74"/>
        <v>230.64280000000002</v>
      </c>
      <c r="S427" s="5">
        <f t="shared" si="75"/>
        <v>55.212800000000016</v>
      </c>
      <c r="T427" s="5">
        <f t="shared" si="76"/>
        <v>-7.0172000000000008</v>
      </c>
      <c r="U427" s="5">
        <f t="shared" si="77"/>
        <v>-182.44720000000001</v>
      </c>
    </row>
    <row r="428" spans="1:21" x14ac:dyDescent="0.25">
      <c r="A428" s="11" t="s">
        <v>25</v>
      </c>
      <c r="B428" s="6" t="s">
        <v>486</v>
      </c>
      <c r="C428" s="9">
        <v>215</v>
      </c>
      <c r="D428" s="6">
        <v>9</v>
      </c>
      <c r="E428" s="8">
        <v>0.04</v>
      </c>
      <c r="F428" s="49">
        <v>0</v>
      </c>
      <c r="G428" s="9">
        <v>0</v>
      </c>
      <c r="H428" s="9">
        <v>379</v>
      </c>
      <c r="I428" s="48">
        <v>0.11</v>
      </c>
      <c r="J428" s="78" cm="1">
        <f t="array" ref="J428">IF(H428&lt;12.5, H428/2,
IF(H428&lt;29, 6.25,
IF(H428&lt;50, 6.5,
IF(H428&lt;79, 6.75,
VALUE(SUBSTITUTE(
INDEX(RESUMO!$J$2:$J$100, MATCH(1,
(D428&gt;=RESUMO!$H$2:$H$100)*(D428&lt;=RESUMO!$I$2:$I$100)*(H428&gt;=RESUMO!$K$2:$K$100)*(H428&lt;=RESUMO!$L$2:$L$100),
0)), "R$ ", ""))
))))</f>
        <v>44.45</v>
      </c>
      <c r="K428" s="9">
        <v>0</v>
      </c>
      <c r="L428" s="10">
        <f t="shared" si="72"/>
        <v>0.18274406332453824</v>
      </c>
      <c r="M428" s="7"/>
      <c r="N428" s="48"/>
      <c r="O428" s="78" cm="1">
        <f t="array" ref="O428">IF(M428&lt;12.5, 0,
IF(M428&lt;29, 6.25,
IF(M428&lt;50, 6.5,
IF(M428&lt;79, 6.75,
VALUE(SUBSTITUTE(
INDEX(RESUMO!$J$2:$J$100, MATCH(1,
(D428&gt;=RESUMO!$H$2:$H$100)*(D428&lt;=RESUMO!$I$2:$I$100)*(M428&gt;=RESUMO!$K$2:$K$100)*(M428&lt;=RESUMO!$L$2:$L$100),
0)), "R$ ", ""))
))))</f>
        <v>0</v>
      </c>
      <c r="P428" s="9"/>
      <c r="Q428" s="10" t="e">
        <f t="shared" si="73"/>
        <v>#DIV/0!</v>
      </c>
      <c r="R428" s="5">
        <f t="shared" si="74"/>
        <v>284.26</v>
      </c>
      <c r="S428" s="5">
        <f t="shared" si="75"/>
        <v>69.259999999999991</v>
      </c>
      <c r="T428" s="5">
        <f t="shared" si="76"/>
        <v>-8.6</v>
      </c>
      <c r="U428" s="5">
        <f t="shared" si="77"/>
        <v>-223.6</v>
      </c>
    </row>
    <row r="429" spans="1:21" x14ac:dyDescent="0.25">
      <c r="A429" s="11" t="s">
        <v>25</v>
      </c>
      <c r="B429" s="6" t="s">
        <v>487</v>
      </c>
      <c r="C429" s="9">
        <v>80.5</v>
      </c>
      <c r="D429" s="6">
        <v>4</v>
      </c>
      <c r="E429" s="8">
        <v>0.04</v>
      </c>
      <c r="F429" s="49">
        <v>0</v>
      </c>
      <c r="G429" s="9">
        <v>1</v>
      </c>
      <c r="H429" s="9">
        <v>153</v>
      </c>
      <c r="I429" s="48">
        <v>0.11</v>
      </c>
      <c r="J429" s="78" cm="1">
        <f t="array" ref="J429">IF(H429&lt;12.5, H429/2,
IF(H429&lt;29, 6.25,
IF(H429&lt;50, 6.5,
IF(H429&lt;79, 6.75,
VALUE(SUBSTITUTE(
INDEX(RESUMO!$J$2:$J$100, MATCH(1,
(D429&gt;=RESUMO!$H$2:$H$100)*(D429&lt;=RESUMO!$I$2:$I$100)*(H429&gt;=RESUMO!$K$2:$K$100)*(H429&lt;=RESUMO!$L$2:$L$100),
0)), "R$ ", ""))
))))</f>
        <v>24.25</v>
      </c>
      <c r="K429" s="9">
        <v>0</v>
      </c>
      <c r="L429" s="10">
        <f t="shared" si="72"/>
        <v>0.18431372549019601</v>
      </c>
      <c r="M429" s="7"/>
      <c r="N429" s="48"/>
      <c r="O429" s="78" cm="1">
        <f t="array" ref="O429">IF(M429&lt;12.5, 0,
IF(M429&lt;29, 6.25,
IF(M429&lt;50, 6.5,
IF(M429&lt;79, 6.75,
VALUE(SUBSTITUTE(
INDEX(RESUMO!$J$2:$J$100, MATCH(1,
(D429&gt;=RESUMO!$H$2:$H$100)*(D429&lt;=RESUMO!$I$2:$I$100)*(M429&gt;=RESUMO!$K$2:$K$100)*(M429&lt;=RESUMO!$L$2:$L$100),
0)), "R$ ", ""))
))))</f>
        <v>0</v>
      </c>
      <c r="P429" s="9"/>
      <c r="Q429" s="10" t="e">
        <f t="shared" si="73"/>
        <v>#DIV/0!</v>
      </c>
      <c r="R429" s="5">
        <f t="shared" si="74"/>
        <v>108.69999999999999</v>
      </c>
      <c r="S429" s="5">
        <f t="shared" si="75"/>
        <v>28.199999999999989</v>
      </c>
      <c r="T429" s="5">
        <f t="shared" si="76"/>
        <v>-3.22</v>
      </c>
      <c r="U429" s="5">
        <f t="shared" si="77"/>
        <v>-83.72</v>
      </c>
    </row>
    <row r="430" spans="1:21" x14ac:dyDescent="0.25">
      <c r="A430" s="11" t="s">
        <v>25</v>
      </c>
      <c r="B430" s="6" t="s">
        <v>488</v>
      </c>
      <c r="C430" s="9">
        <v>85</v>
      </c>
      <c r="D430" s="6">
        <v>4</v>
      </c>
      <c r="E430" s="8">
        <v>0.04</v>
      </c>
      <c r="F430" s="49">
        <v>0</v>
      </c>
      <c r="G430" s="9">
        <v>1</v>
      </c>
      <c r="H430" s="9">
        <v>169.9</v>
      </c>
      <c r="I430" s="48">
        <v>0.11</v>
      </c>
      <c r="J430" s="78" cm="1">
        <f t="array" ref="J430">IF(H430&lt;12.5, H430/2,
IF(H430&lt;29, 6.25,
IF(H430&lt;50, 6.5,
IF(H430&lt;79, 6.75,
VALUE(SUBSTITUTE(
INDEX(RESUMO!$J$2:$J$100, MATCH(1,
(D430&gt;=RESUMO!$H$2:$H$100)*(D430&lt;=RESUMO!$I$2:$I$100)*(H430&gt;=RESUMO!$K$2:$K$100)*(H430&lt;=RESUMO!$L$2:$L$100),
0)), "R$ ", ""))
))))</f>
        <v>24.25</v>
      </c>
      <c r="K430" s="9">
        <v>0</v>
      </c>
      <c r="L430" s="10">
        <f t="shared" si="72"/>
        <v>0.22696291936433199</v>
      </c>
      <c r="M430" s="7"/>
      <c r="N430" s="48"/>
      <c r="O430" s="78" cm="1">
        <f t="array" ref="O430">IF(M430&lt;12.5, 0,
IF(M430&lt;29, 6.25,
IF(M430&lt;50, 6.5,
IF(M430&lt;79, 6.75,
VALUE(SUBSTITUTE(
INDEX(RESUMO!$J$2:$J$100, MATCH(1,
(D430&gt;=RESUMO!$H$2:$H$100)*(D430&lt;=RESUMO!$I$2:$I$100)*(M430&gt;=RESUMO!$K$2:$K$100)*(M430&lt;=RESUMO!$L$2:$L$100),
0)), "R$ ", ""))
))))</f>
        <v>0</v>
      </c>
      <c r="P430" s="9"/>
      <c r="Q430" s="10" t="e">
        <f t="shared" si="73"/>
        <v>#DIV/0!</v>
      </c>
      <c r="R430" s="5">
        <f t="shared" si="74"/>
        <v>123.56100000000001</v>
      </c>
      <c r="S430" s="5">
        <f t="shared" si="75"/>
        <v>38.561000000000007</v>
      </c>
      <c r="T430" s="5">
        <f t="shared" si="76"/>
        <v>-3.4</v>
      </c>
      <c r="U430" s="5">
        <f t="shared" si="77"/>
        <v>-88.4</v>
      </c>
    </row>
    <row r="431" spans="1:21" x14ac:dyDescent="0.25">
      <c r="A431" s="11" t="s">
        <v>25</v>
      </c>
      <c r="B431" s="6" t="s">
        <v>489</v>
      </c>
      <c r="C431" s="9">
        <v>215</v>
      </c>
      <c r="D431" s="6">
        <v>9</v>
      </c>
      <c r="E431" s="8">
        <v>0.04</v>
      </c>
      <c r="F431" s="49">
        <v>0</v>
      </c>
      <c r="G431" s="9">
        <v>1</v>
      </c>
      <c r="H431" s="9">
        <v>379.9</v>
      </c>
      <c r="I431" s="48">
        <v>0.11</v>
      </c>
      <c r="J431" s="78" cm="1">
        <f t="array" ref="J431">IF(H431&lt;12.5, H431/2,
IF(H431&lt;29, 6.25,
IF(H431&lt;50, 6.5,
IF(H431&lt;79, 6.75,
VALUE(SUBSTITUTE(
INDEX(RESUMO!$J$2:$J$100, MATCH(1,
(D431&gt;=RESUMO!$H$2:$H$100)*(D431&lt;=RESUMO!$I$2:$I$100)*(H431&gt;=RESUMO!$K$2:$K$100)*(H431&lt;=RESUMO!$L$2:$L$100),
0)), "R$ ", ""))
))))</f>
        <v>44.45</v>
      </c>
      <c r="K431" s="9">
        <v>0</v>
      </c>
      <c r="L431" s="10">
        <f t="shared" si="72"/>
        <v>0.1844195841010792</v>
      </c>
      <c r="M431" s="7"/>
      <c r="N431" s="48"/>
      <c r="O431" s="78" cm="1">
        <f t="array" ref="O431">IF(M431&lt;12.5, 0,
IF(M431&lt;29, 6.25,
IF(M431&lt;50, 6.5,
IF(M431&lt;79, 6.75,
VALUE(SUBSTITUTE(
INDEX(RESUMO!$J$2:$J$100, MATCH(1,
(D431&gt;=RESUMO!$H$2:$H$100)*(D431&lt;=RESUMO!$I$2:$I$100)*(M431&gt;=RESUMO!$K$2:$K$100)*(M431&lt;=RESUMO!$L$2:$L$100),
0)), "R$ ", ""))
))))</f>
        <v>0</v>
      </c>
      <c r="P431" s="9"/>
      <c r="Q431" s="10" t="e">
        <f t="shared" si="73"/>
        <v>#DIV/0!</v>
      </c>
      <c r="R431" s="5">
        <f t="shared" si="74"/>
        <v>285.06099999999998</v>
      </c>
      <c r="S431" s="5">
        <f t="shared" si="75"/>
        <v>70.060999999999979</v>
      </c>
      <c r="T431" s="5">
        <f t="shared" si="76"/>
        <v>-8.6</v>
      </c>
      <c r="U431" s="5">
        <f t="shared" si="77"/>
        <v>-223.6</v>
      </c>
    </row>
    <row r="432" spans="1:21" x14ac:dyDescent="0.25">
      <c r="A432" s="11" t="s">
        <v>25</v>
      </c>
      <c r="B432" s="6" t="s">
        <v>490</v>
      </c>
      <c r="C432" s="9">
        <v>81.25</v>
      </c>
      <c r="D432" s="6">
        <v>4</v>
      </c>
      <c r="E432" s="8">
        <v>0.04</v>
      </c>
      <c r="F432" s="49">
        <v>0</v>
      </c>
      <c r="G432" s="9">
        <v>1</v>
      </c>
      <c r="H432" s="9">
        <v>154</v>
      </c>
      <c r="I432" s="48">
        <v>0.11</v>
      </c>
      <c r="J432" s="78" cm="1">
        <f t="array" ref="J432">IF(H432&lt;12.5, H432/2,
IF(H432&lt;29, 6.25,
IF(H432&lt;50, 6.5,
IF(H432&lt;79, 6.75,
VALUE(SUBSTITUTE(
INDEX(RESUMO!$J$2:$J$100, MATCH(1,
(D432&gt;=RESUMO!$H$2:$H$100)*(D432&lt;=RESUMO!$I$2:$I$100)*(H432&gt;=RESUMO!$K$2:$K$100)*(H432&lt;=RESUMO!$L$2:$L$100),
0)), "R$ ", ""))
))))</f>
        <v>24.25</v>
      </c>
      <c r="K432" s="9">
        <v>0</v>
      </c>
      <c r="L432" s="10">
        <f t="shared" si="72"/>
        <v>0.18383116883116885</v>
      </c>
      <c r="M432" s="7"/>
      <c r="N432" s="48"/>
      <c r="O432" s="78" cm="1">
        <f t="array" ref="O432">IF(M432&lt;12.5, 0,
IF(M432&lt;29, 6.25,
IF(M432&lt;50, 6.5,
IF(M432&lt;79, 6.75,
VALUE(SUBSTITUTE(
INDEX(RESUMO!$J$2:$J$100, MATCH(1,
(D432&gt;=RESUMO!$H$2:$H$100)*(D432&lt;=RESUMO!$I$2:$I$100)*(M432&gt;=RESUMO!$K$2:$K$100)*(M432&lt;=RESUMO!$L$2:$L$100),
0)), "R$ ", ""))
))))</f>
        <v>0</v>
      </c>
      <c r="P432" s="9"/>
      <c r="Q432" s="10" t="e">
        <f t="shared" si="73"/>
        <v>#DIV/0!</v>
      </c>
      <c r="R432" s="5">
        <f t="shared" si="74"/>
        <v>109.56</v>
      </c>
      <c r="S432" s="5">
        <f t="shared" si="75"/>
        <v>28.310000000000002</v>
      </c>
      <c r="T432" s="5">
        <f t="shared" si="76"/>
        <v>-3.25</v>
      </c>
      <c r="U432" s="5">
        <f t="shared" si="77"/>
        <v>-84.5</v>
      </c>
    </row>
    <row r="433" spans="1:21" x14ac:dyDescent="0.25">
      <c r="A433" s="11" t="s">
        <v>25</v>
      </c>
      <c r="B433" s="6" t="s">
        <v>491</v>
      </c>
      <c r="C433" s="9">
        <v>85</v>
      </c>
      <c r="D433" s="6">
        <v>4</v>
      </c>
      <c r="E433" s="8">
        <v>0.04</v>
      </c>
      <c r="F433" s="49">
        <v>0</v>
      </c>
      <c r="G433" s="9">
        <v>1</v>
      </c>
      <c r="H433" s="9">
        <v>159</v>
      </c>
      <c r="I433" s="48">
        <v>0.11</v>
      </c>
      <c r="J433" s="78" cm="1">
        <f t="array" ref="J433">IF(H433&lt;12.5, H433/2,
IF(H433&lt;29, 6.25,
IF(H433&lt;50, 6.5,
IF(H433&lt;79, 6.75,
VALUE(SUBSTITUTE(
INDEX(RESUMO!$J$2:$J$100, MATCH(1,
(D433&gt;=RESUMO!$H$2:$H$100)*(D433&lt;=RESUMO!$I$2:$I$100)*(H433&gt;=RESUMO!$K$2:$K$100)*(H433&lt;=RESUMO!$L$2:$L$100),
0)), "R$ ", ""))
))))</f>
        <v>24.25</v>
      </c>
      <c r="K433" s="9">
        <v>0</v>
      </c>
      <c r="L433" s="10">
        <f t="shared" si="72"/>
        <v>0.18150943396226407</v>
      </c>
      <c r="M433" s="7"/>
      <c r="N433" s="48"/>
      <c r="O433" s="78" cm="1">
        <f t="array" ref="O433">IF(M433&lt;12.5, 0,
IF(M433&lt;29, 6.25,
IF(M433&lt;50, 6.5,
IF(M433&lt;79, 6.75,
VALUE(SUBSTITUTE(
INDEX(RESUMO!$J$2:$J$100, MATCH(1,
(D433&gt;=RESUMO!$H$2:$H$100)*(D433&lt;=RESUMO!$I$2:$I$100)*(M433&gt;=RESUMO!$K$2:$K$100)*(M433&lt;=RESUMO!$L$2:$L$100),
0)), "R$ ", ""))
))))</f>
        <v>0</v>
      </c>
      <c r="P433" s="9"/>
      <c r="Q433" s="10" t="e">
        <f t="shared" si="73"/>
        <v>#DIV/0!</v>
      </c>
      <c r="R433" s="5">
        <f t="shared" si="74"/>
        <v>113.85999999999999</v>
      </c>
      <c r="S433" s="5">
        <f t="shared" si="75"/>
        <v>28.859999999999985</v>
      </c>
      <c r="T433" s="5">
        <f t="shared" si="76"/>
        <v>-3.4</v>
      </c>
      <c r="U433" s="5">
        <f t="shared" si="77"/>
        <v>-88.4</v>
      </c>
    </row>
    <row r="434" spans="1:21" x14ac:dyDescent="0.25">
      <c r="A434" s="11" t="s">
        <v>33</v>
      </c>
      <c r="B434" s="6" t="s">
        <v>492</v>
      </c>
      <c r="C434" s="9">
        <v>97</v>
      </c>
      <c r="D434" s="6">
        <v>4</v>
      </c>
      <c r="E434" s="8">
        <v>0.04</v>
      </c>
      <c r="F434" s="49">
        <v>0</v>
      </c>
      <c r="G434" s="9">
        <v>1</v>
      </c>
      <c r="H434" s="9">
        <v>185</v>
      </c>
      <c r="I434" s="48">
        <v>0.11</v>
      </c>
      <c r="J434" s="78" cm="1">
        <f t="array" ref="J434">IF(H434&lt;12.5, H434/2,
IF(H434&lt;29, 6.25,
IF(H434&lt;50, 6.5,
IF(H434&lt;79, 6.75,
VALUE(SUBSTITUTE(
INDEX(RESUMO!$J$2:$J$100, MATCH(1,
(D434&gt;=RESUMO!$H$2:$H$100)*(D434&lt;=RESUMO!$I$2:$I$100)*(H434&gt;=RESUMO!$K$2:$K$100)*(H434&lt;=RESUMO!$L$2:$L$100),
0)), "R$ ", ""))
))))</f>
        <v>24.25</v>
      </c>
      <c r="K434" s="9">
        <v>0</v>
      </c>
      <c r="L434" s="10">
        <f t="shared" si="72"/>
        <v>0.21362162162162168</v>
      </c>
      <c r="M434" s="7"/>
      <c r="N434" s="48"/>
      <c r="O434" s="78" cm="1">
        <f t="array" ref="O434">IF(M434&lt;12.5, 0,
IF(M434&lt;29, 6.25,
IF(M434&lt;50, 6.5,
IF(M434&lt;79, 6.75,
VALUE(SUBSTITUTE(
INDEX(RESUMO!$J$2:$J$100, MATCH(1,
(D434&gt;=RESUMO!$H$2:$H$100)*(D434&lt;=RESUMO!$I$2:$I$100)*(M434&gt;=RESUMO!$K$2:$K$100)*(M434&lt;=RESUMO!$L$2:$L$100),
0)), "R$ ", ""))
))))</f>
        <v>0</v>
      </c>
      <c r="P434" s="9"/>
      <c r="Q434" s="10" t="e">
        <f t="shared" si="73"/>
        <v>#DIV/0!</v>
      </c>
      <c r="R434" s="5">
        <f t="shared" si="74"/>
        <v>136.52000000000001</v>
      </c>
      <c r="S434" s="5">
        <f t="shared" si="75"/>
        <v>39.52000000000001</v>
      </c>
      <c r="T434" s="5">
        <f t="shared" si="76"/>
        <v>-3.88</v>
      </c>
      <c r="U434" s="5">
        <f t="shared" si="77"/>
        <v>-100.88</v>
      </c>
    </row>
    <row r="435" spans="1:21" x14ac:dyDescent="0.25">
      <c r="A435" s="11" t="s">
        <v>25</v>
      </c>
      <c r="B435" s="6" t="s">
        <v>493</v>
      </c>
      <c r="C435" s="9">
        <v>49.36</v>
      </c>
      <c r="D435" s="6">
        <v>0.3</v>
      </c>
      <c r="E435" s="8">
        <v>0.04</v>
      </c>
      <c r="F435" s="49">
        <v>0</v>
      </c>
      <c r="G435" s="9">
        <v>1</v>
      </c>
      <c r="H435" s="9">
        <v>89.9</v>
      </c>
      <c r="I435" s="48">
        <v>0.11</v>
      </c>
      <c r="J435" s="78" cm="1">
        <f t="array" ref="J435">IF(H435&lt;12.5, H435/2,
IF(H435&lt;29, 6.25,
IF(H435&lt;50, 6.5,
IF(H435&lt;79, 6.75,
VALUE(SUBSTITUTE(
INDEX(RESUMO!$J$2:$J$100, MATCH(1,
(D435&gt;=RESUMO!$H$2:$H$100)*(D435&lt;=RESUMO!$I$2:$I$100)*(H435&gt;=RESUMO!$K$2:$K$100)*(H435&lt;=RESUMO!$L$2:$L$100),
0)), "R$ ", ""))
))))</f>
        <v>11.97</v>
      </c>
      <c r="K435" s="9">
        <v>0</v>
      </c>
      <c r="L435" s="10">
        <f t="shared" si="72"/>
        <v>0.1858353726362626</v>
      </c>
      <c r="M435" s="7"/>
      <c r="N435" s="48"/>
      <c r="O435" s="78" cm="1">
        <f t="array" ref="O435">IF(M435&lt;12.5, 0,
IF(M435&lt;29, 6.25,
IF(M435&lt;50, 6.5,
IF(M435&lt;79, 6.75,
VALUE(SUBSTITUTE(
INDEX(RESUMO!$J$2:$J$100, MATCH(1,
(D435&gt;=RESUMO!$H$2:$H$100)*(D435&lt;=RESUMO!$I$2:$I$100)*(M435&gt;=RESUMO!$K$2:$K$100)*(M435&lt;=RESUMO!$L$2:$L$100),
0)), "R$ ", ""))
))))</f>
        <v>0</v>
      </c>
      <c r="P435" s="9"/>
      <c r="Q435" s="10" t="e">
        <f t="shared" si="73"/>
        <v>#DIV/0!</v>
      </c>
      <c r="R435" s="5">
        <f t="shared" si="74"/>
        <v>66.066600000000008</v>
      </c>
      <c r="S435" s="5">
        <f t="shared" si="75"/>
        <v>16.706600000000009</v>
      </c>
      <c r="T435" s="5">
        <f t="shared" si="76"/>
        <v>-1.9743999999999999</v>
      </c>
      <c r="U435" s="5">
        <f t="shared" si="77"/>
        <v>-51.334400000000002</v>
      </c>
    </row>
    <row r="436" spans="1:21" x14ac:dyDescent="0.25">
      <c r="A436" s="11" t="s">
        <v>25</v>
      </c>
      <c r="B436" s="6" t="s">
        <v>494</v>
      </c>
      <c r="C436" s="9">
        <v>49.36</v>
      </c>
      <c r="D436" s="6">
        <v>0.3</v>
      </c>
      <c r="E436" s="8">
        <v>0.04</v>
      </c>
      <c r="F436" s="49">
        <v>0</v>
      </c>
      <c r="G436" s="9">
        <v>1</v>
      </c>
      <c r="H436" s="9">
        <v>89.9</v>
      </c>
      <c r="I436" s="48">
        <v>0.11</v>
      </c>
      <c r="J436" s="78" cm="1">
        <f t="array" ref="J436">IF(H436&lt;12.5, H436/2,
IF(H436&lt;29, 6.25,
IF(H436&lt;50, 6.5,
IF(H436&lt;79, 6.75,
VALUE(SUBSTITUTE(
INDEX(RESUMO!$J$2:$J$100, MATCH(1,
(D436&gt;=RESUMO!$H$2:$H$100)*(D436&lt;=RESUMO!$I$2:$I$100)*(H436&gt;=RESUMO!$K$2:$K$100)*(H436&lt;=RESUMO!$L$2:$L$100),
0)), "R$ ", ""))
))))</f>
        <v>11.97</v>
      </c>
      <c r="K436" s="9">
        <v>0</v>
      </c>
      <c r="L436" s="10">
        <f t="shared" si="72"/>
        <v>0.1858353726362626</v>
      </c>
      <c r="M436" s="7"/>
      <c r="N436" s="48"/>
      <c r="O436" s="78" cm="1">
        <f t="array" ref="O436">IF(M436&lt;12.5, 0,
IF(M436&lt;29, 6.25,
IF(M436&lt;50, 6.5,
IF(M436&lt;79, 6.75,
VALUE(SUBSTITUTE(
INDEX(RESUMO!$J$2:$J$100, MATCH(1,
(D436&gt;=RESUMO!$H$2:$H$100)*(D436&lt;=RESUMO!$I$2:$I$100)*(M436&gt;=RESUMO!$K$2:$K$100)*(M436&lt;=RESUMO!$L$2:$L$100),
0)), "R$ ", ""))
))))</f>
        <v>0</v>
      </c>
      <c r="P436" s="9"/>
      <c r="Q436" s="10" t="e">
        <f t="shared" si="73"/>
        <v>#DIV/0!</v>
      </c>
      <c r="R436" s="5">
        <f t="shared" si="74"/>
        <v>66.066600000000008</v>
      </c>
      <c r="S436" s="5">
        <f t="shared" si="75"/>
        <v>16.706600000000009</v>
      </c>
      <c r="T436" s="5">
        <f t="shared" si="76"/>
        <v>-1.9743999999999999</v>
      </c>
      <c r="U436" s="5">
        <f t="shared" si="77"/>
        <v>-51.334400000000002</v>
      </c>
    </row>
    <row r="437" spans="1:21" x14ac:dyDescent="0.25">
      <c r="A437" s="11" t="s">
        <v>25</v>
      </c>
      <c r="B437" s="6" t="s">
        <v>495</v>
      </c>
      <c r="C437" s="9">
        <v>39.21</v>
      </c>
      <c r="D437" s="6">
        <v>0.3</v>
      </c>
      <c r="E437" s="8">
        <v>0.04</v>
      </c>
      <c r="F437" s="49">
        <v>0</v>
      </c>
      <c r="G437" s="9">
        <v>1</v>
      </c>
      <c r="H437" s="9">
        <v>67</v>
      </c>
      <c r="I437" s="48">
        <v>0.11</v>
      </c>
      <c r="J437" s="78" cm="1">
        <f t="array" ref="J437">IF(H437&lt;12.5, H437/2,
IF(H437&lt;29, 6.25,
IF(H437&lt;50, 6.5,
IF(H437&lt;79, 6.75,
VALUE(SUBSTITUTE(
INDEX(RESUMO!$J$2:$J$100, MATCH(1,
(D437&gt;=RESUMO!$H$2:$H$100)*(D437&lt;=RESUMO!$I$2:$I$100)*(H437&gt;=RESUMO!$K$2:$K$100)*(H437&lt;=RESUMO!$L$2:$L$100),
0)), "R$ ", ""))
))))</f>
        <v>6.75</v>
      </c>
      <c r="K437" s="9">
        <v>0</v>
      </c>
      <c r="L437" s="10">
        <f t="shared" si="72"/>
        <v>0.18062089552238814</v>
      </c>
      <c r="M437" s="7"/>
      <c r="N437" s="48"/>
      <c r="O437" s="78" cm="1">
        <f t="array" ref="O437">IF(M437&lt;12.5, 0,
IF(M437&lt;29, 6.25,
IF(M437&lt;50, 6.5,
IF(M437&lt;79, 6.75,
VALUE(SUBSTITUTE(
INDEX(RESUMO!$J$2:$J$100, MATCH(1,
(D437&gt;=RESUMO!$H$2:$H$100)*(D437&lt;=RESUMO!$I$2:$I$100)*(M437&gt;=RESUMO!$K$2:$K$100)*(M437&lt;=RESUMO!$L$2:$L$100),
0)), "R$ ", ""))
))))</f>
        <v>0</v>
      </c>
      <c r="P437" s="9"/>
      <c r="Q437" s="10" t="e">
        <f t="shared" si="73"/>
        <v>#DIV/0!</v>
      </c>
      <c r="R437" s="5">
        <f t="shared" si="74"/>
        <v>51.311600000000006</v>
      </c>
      <c r="S437" s="5">
        <f t="shared" si="75"/>
        <v>12.101600000000005</v>
      </c>
      <c r="T437" s="5">
        <f t="shared" si="76"/>
        <v>-1.5684</v>
      </c>
      <c r="U437" s="5">
        <f t="shared" si="77"/>
        <v>-40.778399999999998</v>
      </c>
    </row>
    <row r="438" spans="1:21" x14ac:dyDescent="0.25">
      <c r="A438" s="11" t="s">
        <v>33</v>
      </c>
      <c r="B438" s="6" t="s">
        <v>496</v>
      </c>
      <c r="C438" s="9">
        <v>58.66</v>
      </c>
      <c r="D438" s="6">
        <v>1</v>
      </c>
      <c r="E438" s="8">
        <v>0.04</v>
      </c>
      <c r="F438" s="49">
        <v>0</v>
      </c>
      <c r="G438" s="9">
        <v>1</v>
      </c>
      <c r="H438" s="9">
        <v>109.9</v>
      </c>
      <c r="I438" s="48">
        <v>0.12</v>
      </c>
      <c r="J438" s="78" cm="1">
        <f t="array" ref="J438">IF(H438&lt;12.5, H438/2,
IF(H438&lt;29, 6.25,
IF(H438&lt;50, 6.5,
IF(H438&lt;79, 6.75,
VALUE(SUBSTITUTE(
INDEX(RESUMO!$J$2:$J$100, MATCH(1,
(D438&gt;=RESUMO!$H$2:$H$100)*(D438&lt;=RESUMO!$I$2:$I$100)*(H438&gt;=RESUMO!$K$2:$K$100)*(H438&lt;=RESUMO!$L$2:$L$100),
0)), "R$ ", ""))
))))</f>
        <v>15.71</v>
      </c>
      <c r="K438" s="9">
        <v>0</v>
      </c>
      <c r="L438" s="10">
        <f t="shared" si="72"/>
        <v>0.18194358507734312</v>
      </c>
      <c r="M438" s="7"/>
      <c r="N438" s="48"/>
      <c r="O438" s="78" cm="1">
        <f t="array" ref="O438">IF(M438&lt;12.5, 0,
IF(M438&lt;29, 6.25,
IF(M438&lt;50, 6.5,
IF(M438&lt;79, 6.75,
VALUE(SUBSTITUTE(
INDEX(RESUMO!$J$2:$J$100, MATCH(1,
(D438&gt;=RESUMO!$H$2:$H$100)*(D438&lt;=RESUMO!$I$2:$I$100)*(M438&gt;=RESUMO!$K$2:$K$100)*(M438&lt;=RESUMO!$L$2:$L$100),
0)), "R$ ", ""))
))))</f>
        <v>0</v>
      </c>
      <c r="P438" s="9"/>
      <c r="Q438" s="10" t="e">
        <f t="shared" si="73"/>
        <v>#DIV/0!</v>
      </c>
      <c r="R438" s="5">
        <f t="shared" si="74"/>
        <v>78.655600000000007</v>
      </c>
      <c r="S438" s="5">
        <f t="shared" si="75"/>
        <v>19.99560000000001</v>
      </c>
      <c r="T438" s="5">
        <f t="shared" si="76"/>
        <v>-2.3464</v>
      </c>
      <c r="U438" s="5">
        <f t="shared" si="77"/>
        <v>-61.006399999999999</v>
      </c>
    </row>
    <row r="439" spans="1:21" x14ac:dyDescent="0.25">
      <c r="A439" s="11" t="s">
        <v>25</v>
      </c>
      <c r="B439" s="6" t="s">
        <v>497</v>
      </c>
      <c r="C439" s="9">
        <v>92.21</v>
      </c>
      <c r="D439" s="6">
        <v>2</v>
      </c>
      <c r="E439" s="8">
        <v>0.04</v>
      </c>
      <c r="F439" s="49">
        <v>0</v>
      </c>
      <c r="G439" s="9">
        <v>1</v>
      </c>
      <c r="H439" s="9">
        <v>165</v>
      </c>
      <c r="I439" s="48">
        <v>0.11</v>
      </c>
      <c r="J439" s="78" cm="1">
        <f t="array" ref="J439">IF(H439&lt;12.5, H439/2,
IF(H439&lt;29, 6.25,
IF(H439&lt;50, 6.5,
IF(H439&lt;79, 6.75,
VALUE(SUBSTITUTE(
INDEX(RESUMO!$J$2:$J$100, MATCH(1,
(D439&gt;=RESUMO!$H$2:$H$100)*(D439&lt;=RESUMO!$I$2:$I$100)*(H439&gt;=RESUMO!$K$2:$K$100)*(H439&lt;=RESUMO!$L$2:$L$100),
0)), "R$ ", ""))
))))</f>
        <v>21.1</v>
      </c>
      <c r="K439" s="9">
        <v>0</v>
      </c>
      <c r="L439" s="10">
        <f t="shared" si="72"/>
        <v>0.1809187878787879</v>
      </c>
      <c r="M439" s="7"/>
      <c r="N439" s="48"/>
      <c r="O439" s="78" cm="1">
        <f t="array" ref="O439">IF(M439&lt;12.5, 0,
IF(M439&lt;29, 6.25,
IF(M439&lt;50, 6.5,
IF(M439&lt;79, 6.75,
VALUE(SUBSTITUTE(
INDEX(RESUMO!$J$2:$J$100, MATCH(1,
(D439&gt;=RESUMO!$H$2:$H$100)*(D439&lt;=RESUMO!$I$2:$I$100)*(M439&gt;=RESUMO!$K$2:$K$100)*(M439&lt;=RESUMO!$L$2:$L$100),
0)), "R$ ", ""))
))))</f>
        <v>0</v>
      </c>
      <c r="P439" s="9"/>
      <c r="Q439" s="10" t="e">
        <f t="shared" si="73"/>
        <v>#DIV/0!</v>
      </c>
      <c r="R439" s="5">
        <f t="shared" si="74"/>
        <v>122.0616</v>
      </c>
      <c r="S439" s="5">
        <f t="shared" si="75"/>
        <v>29.851600000000005</v>
      </c>
      <c r="T439" s="5">
        <f t="shared" si="76"/>
        <v>-3.6883999999999997</v>
      </c>
      <c r="U439" s="5">
        <f t="shared" si="77"/>
        <v>-95.898399999999995</v>
      </c>
    </row>
    <row r="440" spans="1:21" x14ac:dyDescent="0.25">
      <c r="A440" s="11" t="s">
        <v>25</v>
      </c>
      <c r="B440" s="6" t="s">
        <v>90</v>
      </c>
      <c r="C440" s="9">
        <v>507.35</v>
      </c>
      <c r="D440" s="6">
        <v>30</v>
      </c>
      <c r="E440" s="8">
        <v>0.04</v>
      </c>
      <c r="F440" s="49">
        <v>0</v>
      </c>
      <c r="G440" s="9">
        <v>2</v>
      </c>
      <c r="H440" s="9">
        <v>740</v>
      </c>
      <c r="I440" s="48">
        <v>0.11</v>
      </c>
      <c r="J440" s="78" cm="1">
        <f t="array" ref="J440">IF(H440&lt;12.5, H440/2,
IF(H440&lt;29, 6.25,
IF(H440&lt;50, 6.5,
IF(H440&lt;79, 6.75,
VALUE(SUBSTITUTE(
INDEX(RESUMO!$J$2:$J$100, MATCH(1,
(D440&gt;=RESUMO!$H$2:$H$100)*(D440&lt;=RESUMO!$I$2:$I$100)*(H440&gt;=RESUMO!$K$2:$K$100)*(H440&lt;=RESUMO!$L$2:$L$100),
0)), "R$ ", ""))
))))</f>
        <v>98.95</v>
      </c>
      <c r="K440" s="78">
        <v>0</v>
      </c>
      <c r="L440" s="10">
        <f t="shared" si="72"/>
        <v>4.3251351351351316E-2</v>
      </c>
      <c r="M440" s="7">
        <v>773</v>
      </c>
      <c r="N440" s="48">
        <v>0.16</v>
      </c>
      <c r="O440" s="78" cm="1">
        <f t="array" ref="O440">IF(M440&lt;12.5, 0,
IF(M440&lt;29, 6.25,
IF(M440&lt;50, 6.5,
IF(M440&lt;79, 6.75,
VALUE(SUBSTITUTE(
INDEX(RESUMO!$J$2:$J$100, MATCH(1,
(D440&gt;=RESUMO!$H$2:$H$100)*(D440&lt;=RESUMO!$I$2:$I$100)*(M440&gt;=RESUMO!$K$2:$K$100)*(M440&lt;=RESUMO!$L$2:$L$100),
0)), "R$ ", ""))
))))</f>
        <v>98.95</v>
      </c>
      <c r="P440" s="9">
        <v>0</v>
      </c>
      <c r="Q440" s="10">
        <f t="shared" si="73"/>
        <v>2.9399741267787691E-2</v>
      </c>
      <c r="R440" s="5">
        <f t="shared" si="74"/>
        <v>539.35599999999999</v>
      </c>
      <c r="S440" s="5">
        <f t="shared" si="75"/>
        <v>32.005999999999972</v>
      </c>
      <c r="T440" s="5">
        <f t="shared" si="76"/>
        <v>530.07599999999991</v>
      </c>
      <c r="U440" s="5">
        <f t="shared" si="77"/>
        <v>22.725999999999885</v>
      </c>
    </row>
    <row r="441" spans="1:21" x14ac:dyDescent="0.25">
      <c r="A441" s="11" t="s">
        <v>25</v>
      </c>
      <c r="B441" s="6" t="s">
        <v>498</v>
      </c>
      <c r="C441" s="9">
        <v>95.03</v>
      </c>
      <c r="D441" s="6">
        <v>2</v>
      </c>
      <c r="E441" s="8">
        <v>0.04</v>
      </c>
      <c r="F441" s="49">
        <v>0</v>
      </c>
      <c r="G441" s="9">
        <v>1</v>
      </c>
      <c r="H441" s="9">
        <v>169</v>
      </c>
      <c r="I441" s="48">
        <v>0.11</v>
      </c>
      <c r="J441" s="78" cm="1">
        <f t="array" ref="J441">IF(H441&lt;12.5, H441/2,
IF(H441&lt;29, 6.25,
IF(H441&lt;50, 6.5,
IF(H441&lt;79, 6.75,
VALUE(SUBSTITUTE(
INDEX(RESUMO!$J$2:$J$100, MATCH(1,
(D441&gt;=RESUMO!$H$2:$H$100)*(D441&lt;=RESUMO!$I$2:$I$100)*(H441&gt;=RESUMO!$K$2:$K$100)*(H441&lt;=RESUMO!$L$2:$L$100),
0)), "R$ ", ""))
))))</f>
        <v>21.1</v>
      </c>
      <c r="K441" s="9">
        <v>0</v>
      </c>
      <c r="L441" s="10">
        <f t="shared" si="72"/>
        <v>0.18034792899408289</v>
      </c>
      <c r="M441" s="7"/>
      <c r="N441" s="48"/>
      <c r="O441" s="78" cm="1">
        <f t="array" ref="O441">IF(M441&lt;12.5, 0,
IF(M441&lt;29, 6.25,
IF(M441&lt;50, 6.5,
IF(M441&lt;79, 6.75,
VALUE(SUBSTITUTE(
INDEX(RESUMO!$J$2:$J$100, MATCH(1,
(D441&gt;=RESUMO!$H$2:$H$100)*(D441&lt;=RESUMO!$I$2:$I$100)*(M441&gt;=RESUMO!$K$2:$K$100)*(M441&lt;=RESUMO!$L$2:$L$100),
0)), "R$ ", ""))
))))</f>
        <v>0</v>
      </c>
      <c r="P441" s="9"/>
      <c r="Q441" s="10" t="e">
        <f t="shared" si="73"/>
        <v>#DIV/0!</v>
      </c>
      <c r="R441" s="5">
        <f t="shared" si="74"/>
        <v>125.50880000000001</v>
      </c>
      <c r="S441" s="5">
        <f t="shared" si="75"/>
        <v>30.478800000000007</v>
      </c>
      <c r="T441" s="5">
        <f t="shared" si="76"/>
        <v>-3.8012000000000001</v>
      </c>
      <c r="U441" s="5">
        <f t="shared" si="77"/>
        <v>-98.831199999999995</v>
      </c>
    </row>
    <row r="442" spans="1:21" x14ac:dyDescent="0.25">
      <c r="A442" s="11" t="s">
        <v>25</v>
      </c>
      <c r="B442" s="6" t="s">
        <v>499</v>
      </c>
      <c r="C442" s="9">
        <v>96.86</v>
      </c>
      <c r="D442" s="6">
        <v>3</v>
      </c>
      <c r="E442" s="8">
        <v>0.04</v>
      </c>
      <c r="F442" s="49">
        <v>0</v>
      </c>
      <c r="G442" s="9">
        <v>1</v>
      </c>
      <c r="H442" s="9">
        <v>175</v>
      </c>
      <c r="I442" s="48">
        <v>0.11</v>
      </c>
      <c r="J442" s="78" cm="1">
        <f t="array" ref="J442">IF(H442&lt;12.5, H442/2,
IF(H442&lt;29, 6.25,
IF(H442&lt;50, 6.5,
IF(H442&lt;79, 6.75,
VALUE(SUBSTITUTE(
INDEX(RESUMO!$J$2:$J$100, MATCH(1,
(D442&gt;=RESUMO!$H$2:$H$100)*(D442&lt;=RESUMO!$I$2:$I$100)*(H442&gt;=RESUMO!$K$2:$K$100)*(H442&lt;=RESUMO!$L$2:$L$100),
0)), "R$ ", ""))
))))</f>
        <v>22.45</v>
      </c>
      <c r="K442" s="9">
        <v>0</v>
      </c>
      <c r="L442" s="10">
        <f t="shared" si="72"/>
        <v>0.18608914285714287</v>
      </c>
      <c r="M442" s="7"/>
      <c r="N442" s="48"/>
      <c r="O442" s="78" cm="1">
        <f t="array" ref="O442">IF(M442&lt;12.5, 0,
IF(M442&lt;29, 6.25,
IF(M442&lt;50, 6.5,
IF(M442&lt;79, 6.75,
VALUE(SUBSTITUTE(
INDEX(RESUMO!$J$2:$J$100, MATCH(1,
(D442&gt;=RESUMO!$H$2:$H$100)*(D442&lt;=RESUMO!$I$2:$I$100)*(M442&gt;=RESUMO!$K$2:$K$100)*(M442&lt;=RESUMO!$L$2:$L$100),
0)), "R$ ", ""))
))))</f>
        <v>0</v>
      </c>
      <c r="P442" s="9"/>
      <c r="Q442" s="10" t="e">
        <f t="shared" si="73"/>
        <v>#DIV/0!</v>
      </c>
      <c r="R442" s="5">
        <f t="shared" si="74"/>
        <v>129.4256</v>
      </c>
      <c r="S442" s="5">
        <f t="shared" si="75"/>
        <v>32.565600000000003</v>
      </c>
      <c r="T442" s="5">
        <f t="shared" si="76"/>
        <v>-3.8744000000000001</v>
      </c>
      <c r="U442" s="5">
        <f t="shared" si="77"/>
        <v>-100.73439999999999</v>
      </c>
    </row>
    <row r="443" spans="1:21" x14ac:dyDescent="0.25">
      <c r="A443" s="11" t="s">
        <v>25</v>
      </c>
      <c r="B443" s="6" t="s">
        <v>500</v>
      </c>
      <c r="C443" s="9">
        <v>106.72</v>
      </c>
      <c r="D443" s="6">
        <v>2</v>
      </c>
      <c r="E443" s="8">
        <v>0.04</v>
      </c>
      <c r="F443" s="49">
        <v>0</v>
      </c>
      <c r="G443" s="9">
        <v>1</v>
      </c>
      <c r="H443" s="9">
        <v>189</v>
      </c>
      <c r="I443" s="48">
        <v>0.11</v>
      </c>
      <c r="J443" s="78" cm="1">
        <f t="array" ref="J443">IF(H443&lt;12.5, H443/2,
IF(H443&lt;29, 6.25,
IF(H443&lt;50, 6.5,
IF(H443&lt;79, 6.75,
VALUE(SUBSTITUTE(
INDEX(RESUMO!$J$2:$J$100, MATCH(1,
(D443&gt;=RESUMO!$H$2:$H$100)*(D443&lt;=RESUMO!$I$2:$I$100)*(H443&gt;=RESUMO!$K$2:$K$100)*(H443&lt;=RESUMO!$L$2:$L$100),
0)), "R$ ", ""))
))))</f>
        <v>21.1</v>
      </c>
      <c r="K443" s="9">
        <v>0</v>
      </c>
      <c r="L443" s="10">
        <f t="shared" si="72"/>
        <v>0.19111746031746041</v>
      </c>
      <c r="M443" s="7"/>
      <c r="N443" s="48"/>
      <c r="O443" s="78" cm="1">
        <f t="array" ref="O443">IF(M443&lt;12.5, 0,
IF(M443&lt;29, 6.25,
IF(M443&lt;50, 6.5,
IF(M443&lt;79, 6.75,
VALUE(SUBSTITUTE(
INDEX(RESUMO!$J$2:$J$100, MATCH(1,
(D443&gt;=RESUMO!$H$2:$H$100)*(D443&lt;=RESUMO!$I$2:$I$100)*(M443&gt;=RESUMO!$K$2:$K$100)*(M443&lt;=RESUMO!$L$2:$L$100),
0)), "R$ ", ""))
))))</f>
        <v>0</v>
      </c>
      <c r="P443" s="9"/>
      <c r="Q443" s="10" t="e">
        <f t="shared" si="73"/>
        <v>#DIV/0!</v>
      </c>
      <c r="R443" s="5">
        <f t="shared" si="74"/>
        <v>142.84120000000001</v>
      </c>
      <c r="S443" s="5">
        <f t="shared" si="75"/>
        <v>36.121200000000016</v>
      </c>
      <c r="T443" s="5">
        <f t="shared" si="76"/>
        <v>-4.2687999999999997</v>
      </c>
      <c r="U443" s="5">
        <f t="shared" si="77"/>
        <v>-110.9888</v>
      </c>
    </row>
    <row r="444" spans="1:21" x14ac:dyDescent="0.25">
      <c r="A444" s="11" t="s">
        <v>25</v>
      </c>
      <c r="B444" s="6" t="s">
        <v>501</v>
      </c>
      <c r="C444" s="9">
        <v>76.41</v>
      </c>
      <c r="D444" s="6">
        <v>2</v>
      </c>
      <c r="E444" s="8">
        <v>0.04</v>
      </c>
      <c r="F444" s="49">
        <v>0</v>
      </c>
      <c r="G444" s="9">
        <v>1</v>
      </c>
      <c r="H444" s="9">
        <v>139</v>
      </c>
      <c r="I444" s="48">
        <v>0.11</v>
      </c>
      <c r="J444" s="78" cm="1">
        <f t="array" ref="J444">IF(H444&lt;12.5, H444/2,
IF(H444&lt;29, 6.25,
IF(H444&lt;50, 6.5,
IF(H444&lt;79, 6.75,
VALUE(SUBSTITUTE(
INDEX(RESUMO!$J$2:$J$100, MATCH(1,
(D444&gt;=RESUMO!$H$2:$H$100)*(D444&lt;=RESUMO!$I$2:$I$100)*(H444&gt;=RESUMO!$K$2:$K$100)*(H444&lt;=RESUMO!$L$2:$L$100),
0)), "R$ ", ""))
))))</f>
        <v>18.760000000000002</v>
      </c>
      <c r="K444" s="9">
        <v>0</v>
      </c>
      <c r="L444" s="10">
        <f t="shared" si="72"/>
        <v>0.18333525179856111</v>
      </c>
      <c r="M444" s="7"/>
      <c r="N444" s="48"/>
      <c r="O444" s="78" cm="1">
        <f t="array" ref="O444">IF(M444&lt;12.5, 0,
IF(M444&lt;29, 6.25,
IF(M444&lt;50, 6.5,
IF(M444&lt;79, 6.75,
VALUE(SUBSTITUTE(
INDEX(RESUMO!$J$2:$J$100, MATCH(1,
(D444&gt;=RESUMO!$H$2:$H$100)*(D444&lt;=RESUMO!$I$2:$I$100)*(M444&gt;=RESUMO!$K$2:$K$100)*(M444&lt;=RESUMO!$L$2:$L$100),
0)), "R$ ", ""))
))))</f>
        <v>0</v>
      </c>
      <c r="P444" s="9"/>
      <c r="Q444" s="10" t="e">
        <f t="shared" si="73"/>
        <v>#DIV/0!</v>
      </c>
      <c r="R444" s="5">
        <f t="shared" si="74"/>
        <v>101.89359999999999</v>
      </c>
      <c r="S444" s="5">
        <f t="shared" si="75"/>
        <v>25.483599999999996</v>
      </c>
      <c r="T444" s="5">
        <f t="shared" si="76"/>
        <v>-3.0564</v>
      </c>
      <c r="U444" s="5">
        <f t="shared" si="77"/>
        <v>-79.466399999999993</v>
      </c>
    </row>
    <row r="445" spans="1:21" x14ac:dyDescent="0.25">
      <c r="A445" s="11" t="s">
        <v>25</v>
      </c>
      <c r="B445" s="6" t="s">
        <v>502</v>
      </c>
      <c r="C445" s="9">
        <v>112.44</v>
      </c>
      <c r="D445" s="6">
        <v>2</v>
      </c>
      <c r="E445" s="8">
        <v>0.04</v>
      </c>
      <c r="F445" s="49">
        <v>0</v>
      </c>
      <c r="G445" s="9">
        <v>1</v>
      </c>
      <c r="H445" s="9">
        <v>195</v>
      </c>
      <c r="I445" s="48">
        <v>0.11</v>
      </c>
      <c r="J445" s="78" cm="1">
        <f t="array" ref="J445">IF(H445&lt;12.5, H445/2,
IF(H445&lt;29, 6.25,
IF(H445&lt;50, 6.5,
IF(H445&lt;79, 6.75,
VALUE(SUBSTITUTE(
INDEX(RESUMO!$J$2:$J$100, MATCH(1,
(D445&gt;=RESUMO!$H$2:$H$100)*(D445&lt;=RESUMO!$I$2:$I$100)*(H445&gt;=RESUMO!$K$2:$K$100)*(H445&lt;=RESUMO!$L$2:$L$100),
0)), "R$ ", ""))
))))</f>
        <v>21.1</v>
      </c>
      <c r="K445" s="9">
        <v>0</v>
      </c>
      <c r="L445" s="10">
        <f t="shared" si="72"/>
        <v>0.18211487179487187</v>
      </c>
      <c r="M445" s="7"/>
      <c r="N445" s="48"/>
      <c r="O445" s="78" cm="1">
        <f t="array" ref="O445">IF(M445&lt;12.5, 0,
IF(M445&lt;29, 6.25,
IF(M445&lt;50, 6.5,
IF(M445&lt;79, 6.75,
VALUE(SUBSTITUTE(
INDEX(RESUMO!$J$2:$J$100, MATCH(1,
(D445&gt;=RESUMO!$H$2:$H$100)*(D445&lt;=RESUMO!$I$2:$I$100)*(M445&gt;=RESUMO!$K$2:$K$100)*(M445&lt;=RESUMO!$L$2:$L$100),
0)), "R$ ", ""))
))))</f>
        <v>0</v>
      </c>
      <c r="P445" s="9"/>
      <c r="Q445" s="10" t="e">
        <f t="shared" si="73"/>
        <v>#DIV/0!</v>
      </c>
      <c r="R445" s="5">
        <f t="shared" si="74"/>
        <v>147.95240000000001</v>
      </c>
      <c r="S445" s="5">
        <f t="shared" si="75"/>
        <v>35.512400000000014</v>
      </c>
      <c r="T445" s="5">
        <f t="shared" si="76"/>
        <v>-4.4976000000000003</v>
      </c>
      <c r="U445" s="5">
        <f t="shared" si="77"/>
        <v>-116.9376</v>
      </c>
    </row>
    <row r="446" spans="1:21" x14ac:dyDescent="0.25">
      <c r="A446" s="11" t="s">
        <v>25</v>
      </c>
      <c r="B446" s="6" t="s">
        <v>503</v>
      </c>
      <c r="C446" s="9">
        <v>190.05</v>
      </c>
      <c r="D446" s="6">
        <v>3</v>
      </c>
      <c r="E446" s="8">
        <v>0.04</v>
      </c>
      <c r="F446" s="49">
        <v>0</v>
      </c>
      <c r="G446" s="9">
        <v>1</v>
      </c>
      <c r="H446" s="9">
        <v>315</v>
      </c>
      <c r="I446" s="48">
        <v>0.11</v>
      </c>
      <c r="J446" s="78" cm="1">
        <f t="array" ref="J446">IF(H446&lt;12.5, H446/2,
IF(H446&lt;29, 6.25,
IF(H446&lt;50, 6.5,
IF(H446&lt;79, 6.75,
VALUE(SUBSTITUTE(
INDEX(RESUMO!$J$2:$J$100, MATCH(1,
(D446&gt;=RESUMO!$H$2:$H$100)*(D446&lt;=RESUMO!$I$2:$I$100)*(H446&gt;=RESUMO!$K$2:$K$100)*(H446&lt;=RESUMO!$L$2:$L$100),
0)), "R$ ", ""))
))))</f>
        <v>24.95</v>
      </c>
      <c r="K446" s="9">
        <v>0</v>
      </c>
      <c r="L446" s="10">
        <f t="shared" ref="L446:L518" si="78">S446/H446</f>
        <v>0.1833269841269842</v>
      </c>
      <c r="M446" s="7"/>
      <c r="N446" s="48"/>
      <c r="O446" s="78" cm="1">
        <f t="array" ref="O446">IF(M446&lt;12.5, 0,
IF(M446&lt;29, 6.25,
IF(M446&lt;50, 6.5,
IF(M446&lt;79, 6.75,
VALUE(SUBSTITUTE(
INDEX(RESUMO!$J$2:$J$100, MATCH(1,
(D446&gt;=RESUMO!$H$2:$H$100)*(D446&lt;=RESUMO!$I$2:$I$100)*(M446&gt;=RESUMO!$K$2:$K$100)*(M446&lt;=RESUMO!$L$2:$L$100),
0)), "R$ ", ""))
))))</f>
        <v>0</v>
      </c>
      <c r="P446" s="9"/>
      <c r="Q446" s="10" t="e">
        <f t="shared" ref="Q446:Q518" si="79">U446/M446</f>
        <v>#DIV/0!</v>
      </c>
      <c r="R446" s="5">
        <f t="shared" ref="R446:R518" si="80">(H446-(H446*I446)-J446-(C446*E446)+K446)</f>
        <v>247.79800000000003</v>
      </c>
      <c r="S446" s="5">
        <f t="shared" ref="S446:S518" si="81">R446-(C446-F446)</f>
        <v>57.748000000000019</v>
      </c>
      <c r="T446" s="5">
        <f t="shared" ref="T446:T518" si="82">(M446-(M446*N446)-O446-(C446*E446)+P446)</f>
        <v>-7.6020000000000003</v>
      </c>
      <c r="U446" s="5">
        <f t="shared" ref="U446:U518" si="83">T446-(C446-F446)</f>
        <v>-197.65200000000002</v>
      </c>
    </row>
    <row r="447" spans="1:21" x14ac:dyDescent="0.25">
      <c r="A447" s="11" t="s">
        <v>25</v>
      </c>
      <c r="B447" s="6" t="s">
        <v>504</v>
      </c>
      <c r="C447" s="9">
        <v>85.34</v>
      </c>
      <c r="D447" s="6">
        <v>3</v>
      </c>
      <c r="E447" s="8">
        <v>0.04</v>
      </c>
      <c r="F447" s="49">
        <v>0</v>
      </c>
      <c r="G447" s="9">
        <v>0</v>
      </c>
      <c r="H447" s="9">
        <v>157</v>
      </c>
      <c r="I447" s="48">
        <v>0.11</v>
      </c>
      <c r="J447" s="78" cm="1">
        <f t="array" ref="J447">IF(H447&lt;12.5, H447/2,
IF(H447&lt;29, 6.25,
IF(H447&lt;50, 6.5,
IF(H447&lt;79, 6.75,
VALUE(SUBSTITUTE(
INDEX(RESUMO!$J$2:$J$100, MATCH(1,
(D447&gt;=RESUMO!$H$2:$H$100)*(D447&lt;=RESUMO!$I$2:$I$100)*(H447&gt;=RESUMO!$K$2:$K$100)*(H447&lt;=RESUMO!$L$2:$L$100),
0)), "R$ ", ""))
))))</f>
        <v>22.45</v>
      </c>
      <c r="K447" s="9">
        <v>0</v>
      </c>
      <c r="L447" s="10">
        <f t="shared" si="78"/>
        <v>0.1816968152866241</v>
      </c>
      <c r="M447" s="7"/>
      <c r="N447" s="48"/>
      <c r="O447" s="78" cm="1">
        <f t="array" ref="O447">IF(M447&lt;12.5, 0,
IF(M447&lt;29, 6.25,
IF(M447&lt;50, 6.5,
IF(M447&lt;79, 6.75,
VALUE(SUBSTITUTE(
INDEX(RESUMO!$J$2:$J$100, MATCH(1,
(D447&gt;=RESUMO!$H$2:$H$100)*(D447&lt;=RESUMO!$I$2:$I$100)*(M447&gt;=RESUMO!$K$2:$K$100)*(M447&lt;=RESUMO!$L$2:$L$100),
0)), "R$ ", ""))
))))</f>
        <v>0</v>
      </c>
      <c r="P447" s="9"/>
      <c r="Q447" s="10" t="e">
        <f t="shared" si="79"/>
        <v>#DIV/0!</v>
      </c>
      <c r="R447" s="5">
        <f t="shared" si="80"/>
        <v>113.86639999999998</v>
      </c>
      <c r="S447" s="5">
        <f t="shared" si="81"/>
        <v>28.526399999999981</v>
      </c>
      <c r="T447" s="5">
        <f t="shared" si="82"/>
        <v>-3.4136000000000002</v>
      </c>
      <c r="U447" s="5">
        <f t="shared" si="83"/>
        <v>-88.753600000000006</v>
      </c>
    </row>
    <row r="448" spans="1:21" x14ac:dyDescent="0.25">
      <c r="A448" s="11" t="s">
        <v>25</v>
      </c>
      <c r="B448" s="6" t="s">
        <v>505</v>
      </c>
      <c r="C448" s="9">
        <v>140.85</v>
      </c>
      <c r="D448" s="6">
        <v>3</v>
      </c>
      <c r="E448" s="8">
        <v>0.04</v>
      </c>
      <c r="F448" s="49">
        <v>0</v>
      </c>
      <c r="G448" s="9">
        <v>1</v>
      </c>
      <c r="H448" s="9">
        <v>242</v>
      </c>
      <c r="I448" s="48">
        <v>0.11</v>
      </c>
      <c r="J448" s="78" cm="1">
        <f t="array" ref="J448">IF(H448&lt;12.5, H448/2,
IF(H448&lt;29, 6.25,
IF(H448&lt;50, 6.5,
IF(H448&lt;79, 6.75,
VALUE(SUBSTITUTE(
INDEX(RESUMO!$J$2:$J$100, MATCH(1,
(D448&gt;=RESUMO!$H$2:$H$100)*(D448&lt;=RESUMO!$I$2:$I$100)*(H448&gt;=RESUMO!$K$2:$K$100)*(H448&lt;=RESUMO!$L$2:$L$100),
0)), "R$ ", ""))
))))</f>
        <v>24.95</v>
      </c>
      <c r="K448" s="9">
        <v>0</v>
      </c>
      <c r="L448" s="10">
        <f t="shared" si="78"/>
        <v>0.18159504132231416</v>
      </c>
      <c r="M448" s="7"/>
      <c r="N448" s="48"/>
      <c r="O448" s="78" cm="1">
        <f t="array" ref="O448">IF(M448&lt;12.5, 0,
IF(M448&lt;29, 6.25,
IF(M448&lt;50, 6.5,
IF(M448&lt;79, 6.75,
VALUE(SUBSTITUTE(
INDEX(RESUMO!$J$2:$J$100, MATCH(1,
(D448&gt;=RESUMO!$H$2:$H$100)*(D448&lt;=RESUMO!$I$2:$I$100)*(M448&gt;=RESUMO!$K$2:$K$100)*(M448&lt;=RESUMO!$L$2:$L$100),
0)), "R$ ", ""))
))))</f>
        <v>0</v>
      </c>
      <c r="P448" s="9"/>
      <c r="Q448" s="10" t="e">
        <f t="shared" si="79"/>
        <v>#DIV/0!</v>
      </c>
      <c r="R448" s="5">
        <f t="shared" si="80"/>
        <v>184.79600000000002</v>
      </c>
      <c r="S448" s="5">
        <f t="shared" si="81"/>
        <v>43.946000000000026</v>
      </c>
      <c r="T448" s="5">
        <f t="shared" si="82"/>
        <v>-5.6339999999999995</v>
      </c>
      <c r="U448" s="5">
        <f t="shared" si="83"/>
        <v>-146.48399999999998</v>
      </c>
    </row>
    <row r="449" spans="1:21" x14ac:dyDescent="0.25">
      <c r="A449" s="11" t="s">
        <v>25</v>
      </c>
      <c r="B449" s="6" t="s">
        <v>506</v>
      </c>
      <c r="C449" s="9">
        <v>95.03</v>
      </c>
      <c r="D449" s="6">
        <v>2</v>
      </c>
      <c r="E449" s="8">
        <v>0.04</v>
      </c>
      <c r="F449" s="49">
        <v>0</v>
      </c>
      <c r="G449" s="9">
        <v>1</v>
      </c>
      <c r="H449" s="9">
        <v>169</v>
      </c>
      <c r="I449" s="48">
        <v>0.11</v>
      </c>
      <c r="J449" s="78" cm="1">
        <f t="array" ref="J449">IF(H449&lt;12.5, H449/2,
IF(H449&lt;29, 6.25,
IF(H449&lt;50, 6.5,
IF(H449&lt;79, 6.75,
VALUE(SUBSTITUTE(
INDEX(RESUMO!$J$2:$J$100, MATCH(1,
(D449&gt;=RESUMO!$H$2:$H$100)*(D449&lt;=RESUMO!$I$2:$I$100)*(H449&gt;=RESUMO!$K$2:$K$100)*(H449&lt;=RESUMO!$L$2:$L$100),
0)), "R$ ", ""))
))))</f>
        <v>21.1</v>
      </c>
      <c r="K449" s="9">
        <v>0</v>
      </c>
      <c r="L449" s="10">
        <f t="shared" si="78"/>
        <v>0.18034792899408289</v>
      </c>
      <c r="M449" s="7"/>
      <c r="N449" s="48"/>
      <c r="O449" s="78" cm="1">
        <f t="array" ref="O449">IF(M449&lt;12.5, 0,
IF(M449&lt;29, 6.25,
IF(M449&lt;50, 6.5,
IF(M449&lt;79, 6.75,
VALUE(SUBSTITUTE(
INDEX(RESUMO!$J$2:$J$100, MATCH(1,
(D449&gt;=RESUMO!$H$2:$H$100)*(D449&lt;=RESUMO!$I$2:$I$100)*(M449&gt;=RESUMO!$K$2:$K$100)*(M449&lt;=RESUMO!$L$2:$L$100),
0)), "R$ ", ""))
))))</f>
        <v>0</v>
      </c>
      <c r="P449" s="9"/>
      <c r="Q449" s="10" t="e">
        <f t="shared" si="79"/>
        <v>#DIV/0!</v>
      </c>
      <c r="R449" s="5">
        <f t="shared" si="80"/>
        <v>125.50880000000001</v>
      </c>
      <c r="S449" s="5">
        <f t="shared" si="81"/>
        <v>30.478800000000007</v>
      </c>
      <c r="T449" s="5">
        <f t="shared" si="82"/>
        <v>-3.8012000000000001</v>
      </c>
      <c r="U449" s="5">
        <f t="shared" si="83"/>
        <v>-98.831199999999995</v>
      </c>
    </row>
    <row r="450" spans="1:21" x14ac:dyDescent="0.25">
      <c r="A450" s="11" t="s">
        <v>25</v>
      </c>
      <c r="B450" s="6" t="s">
        <v>507</v>
      </c>
      <c r="C450" s="9">
        <v>89.64</v>
      </c>
      <c r="D450" s="6">
        <v>3</v>
      </c>
      <c r="E450" s="8">
        <v>0.04</v>
      </c>
      <c r="F450" s="49">
        <v>0</v>
      </c>
      <c r="G450" s="9">
        <v>21</v>
      </c>
      <c r="H450" s="9">
        <v>163</v>
      </c>
      <c r="I450" s="48">
        <v>0.11</v>
      </c>
      <c r="J450" s="78" cm="1">
        <f t="array" ref="J450">IF(H450&lt;12.5, H450/2,
IF(H450&lt;29, 6.25,
IF(H450&lt;50, 6.5,
IF(H450&lt;79, 6.75,
VALUE(SUBSTITUTE(
INDEX(RESUMO!$J$2:$J$100, MATCH(1,
(D450&gt;=RESUMO!$H$2:$H$100)*(D450&lt;=RESUMO!$I$2:$I$100)*(H450&gt;=RESUMO!$K$2:$K$100)*(H450&lt;=RESUMO!$L$2:$L$100),
0)), "R$ ", ""))
))))</f>
        <v>22.45</v>
      </c>
      <c r="K450" s="9">
        <v>0</v>
      </c>
      <c r="L450" s="10">
        <f t="shared" si="78"/>
        <v>0.18033374233128829</v>
      </c>
      <c r="M450" s="7"/>
      <c r="N450" s="48"/>
      <c r="O450" s="78" cm="1">
        <f t="array" ref="O450">IF(M450&lt;12.5, 0,
IF(M450&lt;29, 6.25,
IF(M450&lt;50, 6.5,
IF(M450&lt;79, 6.75,
VALUE(SUBSTITUTE(
INDEX(RESUMO!$J$2:$J$100, MATCH(1,
(D450&gt;=RESUMO!$H$2:$H$100)*(D450&lt;=RESUMO!$I$2:$I$100)*(M450&gt;=RESUMO!$K$2:$K$100)*(M450&lt;=RESUMO!$L$2:$L$100),
0)), "R$ ", ""))
))))</f>
        <v>0</v>
      </c>
      <c r="P450" s="9"/>
      <c r="Q450" s="10" t="e">
        <f t="shared" si="79"/>
        <v>#DIV/0!</v>
      </c>
      <c r="R450" s="5">
        <f t="shared" si="80"/>
        <v>119.03439999999999</v>
      </c>
      <c r="S450" s="5">
        <f t="shared" si="81"/>
        <v>29.39439999999999</v>
      </c>
      <c r="T450" s="5">
        <f t="shared" si="82"/>
        <v>-3.5855999999999999</v>
      </c>
      <c r="U450" s="5">
        <f t="shared" si="83"/>
        <v>-93.2256</v>
      </c>
    </row>
    <row r="451" spans="1:21" x14ac:dyDescent="0.25">
      <c r="A451" s="11" t="s">
        <v>33</v>
      </c>
      <c r="B451" s="6" t="s">
        <v>508</v>
      </c>
      <c r="C451" s="9">
        <v>177.26</v>
      </c>
      <c r="D451" s="6">
        <v>4</v>
      </c>
      <c r="E451" s="8">
        <v>0.04</v>
      </c>
      <c r="F451" s="49">
        <v>0</v>
      </c>
      <c r="G451" s="9">
        <v>1</v>
      </c>
      <c r="H451" s="9">
        <v>299.89999999999998</v>
      </c>
      <c r="I451" s="48">
        <v>0.11</v>
      </c>
      <c r="J451" s="78" cm="1">
        <f t="array" ref="J451">IF(H451&lt;12.5, H451/2,
IF(H451&lt;29, 6.25,
IF(H451&lt;50, 6.5,
IF(H451&lt;79, 6.75,
VALUE(SUBSTITUTE(
INDEX(RESUMO!$J$2:$J$100, MATCH(1,
(D451&gt;=RESUMO!$H$2:$H$100)*(D451&lt;=RESUMO!$I$2:$I$100)*(H451&gt;=RESUMO!$K$2:$K$100)*(H451&lt;=RESUMO!$L$2:$L$100),
0)), "R$ ", ""))
))))</f>
        <v>26.95</v>
      </c>
      <c r="K451" s="9">
        <v>0</v>
      </c>
      <c r="L451" s="10">
        <f t="shared" si="78"/>
        <v>0.18543047682560868</v>
      </c>
      <c r="M451" s="7"/>
      <c r="N451" s="48"/>
      <c r="O451" s="78" cm="1">
        <f t="array" ref="O451">IF(M451&lt;12.5, 0,
IF(M451&lt;29, 6.25,
IF(M451&lt;50, 6.5,
IF(M451&lt;79, 6.75,
VALUE(SUBSTITUTE(
INDEX(RESUMO!$J$2:$J$100, MATCH(1,
(D451&gt;=RESUMO!$H$2:$H$100)*(D451&lt;=RESUMO!$I$2:$I$100)*(M451&gt;=RESUMO!$K$2:$K$100)*(M451&lt;=RESUMO!$L$2:$L$100),
0)), "R$ ", ""))
))))</f>
        <v>0</v>
      </c>
      <c r="P451" s="9"/>
      <c r="Q451" s="10" t="e">
        <f t="shared" si="79"/>
        <v>#DIV/0!</v>
      </c>
      <c r="R451" s="5">
        <f t="shared" si="80"/>
        <v>232.87060000000002</v>
      </c>
      <c r="S451" s="5">
        <f t="shared" si="81"/>
        <v>55.610600000000034</v>
      </c>
      <c r="T451" s="5">
        <f t="shared" si="82"/>
        <v>-7.0903999999999998</v>
      </c>
      <c r="U451" s="5">
        <f t="shared" si="83"/>
        <v>-184.35039999999998</v>
      </c>
    </row>
    <row r="452" spans="1:21" x14ac:dyDescent="0.25">
      <c r="A452" s="11" t="s">
        <v>33</v>
      </c>
      <c r="B452" s="6" t="s">
        <v>509</v>
      </c>
      <c r="C452" s="9">
        <v>147.24</v>
      </c>
      <c r="D452" s="6">
        <v>3</v>
      </c>
      <c r="E452" s="8">
        <v>0.04</v>
      </c>
      <c r="F452" s="49">
        <v>0</v>
      </c>
      <c r="G452" s="9">
        <v>1</v>
      </c>
      <c r="H452" s="9">
        <v>275</v>
      </c>
      <c r="I452" s="48">
        <v>0.11</v>
      </c>
      <c r="J452" s="78" cm="1">
        <f t="array" ref="J452">IF(H452&lt;12.5, H452/2,
IF(H452&lt;29, 6.25,
IF(H452&lt;50, 6.5,
IF(H452&lt;79, 6.75,
VALUE(SUBSTITUTE(
INDEX(RESUMO!$J$2:$J$100, MATCH(1,
(D452&gt;=RESUMO!$H$2:$H$100)*(D452&lt;=RESUMO!$I$2:$I$100)*(H452&gt;=RESUMO!$K$2:$K$100)*(H452&lt;=RESUMO!$L$2:$L$100),
0)), "R$ ", ""))
))))</f>
        <v>24.95</v>
      </c>
      <c r="K452" s="9">
        <v>0</v>
      </c>
      <c r="L452" s="10">
        <f t="shared" si="78"/>
        <v>0.24243781818181817</v>
      </c>
      <c r="M452" s="7"/>
      <c r="N452" s="48"/>
      <c r="O452" s="78" cm="1">
        <f t="array" ref="O452">IF(M452&lt;12.5, 0,
IF(M452&lt;29, 6.25,
IF(M452&lt;50, 6.5,
IF(M452&lt;79, 6.75,
VALUE(SUBSTITUTE(
INDEX(RESUMO!$J$2:$J$100, MATCH(1,
(D452&gt;=RESUMO!$H$2:$H$100)*(D452&lt;=RESUMO!$I$2:$I$100)*(M452&gt;=RESUMO!$K$2:$K$100)*(M452&lt;=RESUMO!$L$2:$L$100),
0)), "R$ ", ""))
))))</f>
        <v>0</v>
      </c>
      <c r="P452" s="9"/>
      <c r="Q452" s="10" t="e">
        <f t="shared" si="79"/>
        <v>#DIV/0!</v>
      </c>
      <c r="R452" s="5">
        <f t="shared" si="80"/>
        <v>213.91040000000001</v>
      </c>
      <c r="S452" s="5">
        <f t="shared" si="81"/>
        <v>66.670400000000001</v>
      </c>
      <c r="T452" s="5">
        <f t="shared" si="82"/>
        <v>-5.8896000000000006</v>
      </c>
      <c r="U452" s="5">
        <f t="shared" si="83"/>
        <v>-153.12960000000001</v>
      </c>
    </row>
    <row r="453" spans="1:21" x14ac:dyDescent="0.25">
      <c r="A453" s="11" t="s">
        <v>25</v>
      </c>
      <c r="B453" s="6" t="s">
        <v>514</v>
      </c>
      <c r="C453" s="9">
        <v>49.66</v>
      </c>
      <c r="D453" s="6"/>
      <c r="E453" s="8">
        <v>0.04</v>
      </c>
      <c r="F453" s="49">
        <v>0</v>
      </c>
      <c r="G453" s="9">
        <v>0</v>
      </c>
      <c r="H453" s="9"/>
      <c r="I453" s="48"/>
      <c r="J453" s="78" cm="1">
        <f t="array" ref="J453">IF(H453&lt;12.5, H453/2,
IF(H453&lt;29, 6.25,
IF(H453&lt;50, 6.5,
IF(H453&lt;79, 6.75,
VALUE(SUBSTITUTE(
INDEX(RESUMO!$J$2:$J$100, MATCH(1,
(D453&gt;=RESUMO!$H$2:$H$100)*(D453&lt;=RESUMO!$I$2:$I$100)*(H453&gt;=RESUMO!$K$2:$K$100)*(H453&lt;=RESUMO!$L$2:$L$100),
0)), "R$ ", ""))
))))</f>
        <v>0</v>
      </c>
      <c r="K453" s="9"/>
      <c r="L453" s="10" t="e">
        <f t="shared" si="78"/>
        <v>#DIV/0!</v>
      </c>
      <c r="M453" s="7"/>
      <c r="N453" s="48"/>
      <c r="O453" s="78" cm="1">
        <f t="array" ref="O453">IF(M453&lt;12.5, 0,
IF(M453&lt;29, 6.25,
IF(M453&lt;50, 6.5,
IF(M453&lt;79, 6.75,
VALUE(SUBSTITUTE(
INDEX(RESUMO!$J$2:$J$100, MATCH(1,
(D453&gt;=RESUMO!$H$2:$H$100)*(D453&lt;=RESUMO!$I$2:$I$100)*(M453&gt;=RESUMO!$K$2:$K$100)*(M453&lt;=RESUMO!$L$2:$L$100),
0)), "R$ ", ""))
))))</f>
        <v>0</v>
      </c>
      <c r="P453" s="9"/>
      <c r="Q453" s="10" t="e">
        <f t="shared" si="79"/>
        <v>#DIV/0!</v>
      </c>
      <c r="R453" s="5">
        <f t="shared" si="80"/>
        <v>-1.9863999999999999</v>
      </c>
      <c r="S453" s="5">
        <f t="shared" si="81"/>
        <v>-51.6464</v>
      </c>
      <c r="T453" s="5">
        <f t="shared" si="82"/>
        <v>-1.9863999999999999</v>
      </c>
      <c r="U453" s="5">
        <f t="shared" si="83"/>
        <v>-51.6464</v>
      </c>
    </row>
    <row r="454" spans="1:21" x14ac:dyDescent="0.25">
      <c r="A454" s="11"/>
      <c r="B454" s="6" t="s">
        <v>515</v>
      </c>
      <c r="C454" s="9"/>
      <c r="D454" s="6"/>
      <c r="E454" s="8">
        <v>0.04</v>
      </c>
      <c r="F454" s="49">
        <v>0</v>
      </c>
      <c r="G454" s="9">
        <v>0</v>
      </c>
      <c r="H454" s="9"/>
      <c r="I454" s="48"/>
      <c r="J454" s="78" cm="1">
        <f t="array" ref="J454">IF(H454&lt;12.5, H454/2,
IF(H454&lt;29, 6.25,
IF(H454&lt;50, 6.5,
IF(H454&lt;79, 6.75,
VALUE(SUBSTITUTE(
INDEX(RESUMO!$J$2:$J$100, MATCH(1,
(D454&gt;=RESUMO!$H$2:$H$100)*(D454&lt;=RESUMO!$I$2:$I$100)*(H454&gt;=RESUMO!$K$2:$K$100)*(H454&lt;=RESUMO!$L$2:$L$100),
0)), "R$ ", ""))
))))</f>
        <v>0</v>
      </c>
      <c r="K454" s="9"/>
      <c r="L454" s="10" t="e">
        <f t="shared" si="78"/>
        <v>#DIV/0!</v>
      </c>
      <c r="M454" s="7"/>
      <c r="N454" s="48"/>
      <c r="O454" s="78" cm="1">
        <f t="array" ref="O454">IF(M454&lt;12.5, 0,
IF(M454&lt;29, 6.25,
IF(M454&lt;50, 6.5,
IF(M454&lt;79, 6.75,
VALUE(SUBSTITUTE(
INDEX(RESUMO!$J$2:$J$100, MATCH(1,
(D454&gt;=RESUMO!$H$2:$H$100)*(D454&lt;=RESUMO!$I$2:$I$100)*(M454&gt;=RESUMO!$K$2:$K$100)*(M454&lt;=RESUMO!$L$2:$L$100),
0)), "R$ ", ""))
))))</f>
        <v>0</v>
      </c>
      <c r="P454" s="9"/>
      <c r="Q454" s="10" t="e">
        <f t="shared" si="79"/>
        <v>#DIV/0!</v>
      </c>
      <c r="R454" s="5">
        <f t="shared" si="80"/>
        <v>0</v>
      </c>
      <c r="S454" s="5">
        <f t="shared" si="81"/>
        <v>0</v>
      </c>
      <c r="T454" s="5">
        <f t="shared" si="82"/>
        <v>0</v>
      </c>
      <c r="U454" s="5">
        <f t="shared" si="83"/>
        <v>0</v>
      </c>
    </row>
    <row r="455" spans="1:21" x14ac:dyDescent="0.25">
      <c r="A455" s="11"/>
      <c r="B455" s="6">
        <v>7891356059025</v>
      </c>
      <c r="C455" s="9"/>
      <c r="D455" s="6"/>
      <c r="E455" s="8"/>
      <c r="F455" s="49"/>
      <c r="G455" s="9"/>
      <c r="H455" s="9"/>
      <c r="I455" s="48"/>
      <c r="J455" s="78" cm="1">
        <f t="array" ref="J455">IF(H455&lt;12.5, H455/2,
IF(H455&lt;29, 6.25,
IF(H455&lt;50, 6.5,
IF(H455&lt;79, 6.75,
VALUE(SUBSTITUTE(
INDEX(RESUMO!$J$2:$J$100, MATCH(1,
(D455&gt;=RESUMO!$H$2:$H$100)*(D455&lt;=RESUMO!$I$2:$I$100)*(H455&gt;=RESUMO!$K$2:$K$100)*(H455&lt;=RESUMO!$L$2:$L$100),
0)), "R$ ", ""))
))))</f>
        <v>0</v>
      </c>
      <c r="K455" s="9"/>
      <c r="L455" s="10" t="e">
        <f t="shared" si="78"/>
        <v>#DIV/0!</v>
      </c>
      <c r="M455" s="7"/>
      <c r="N455" s="48"/>
      <c r="O455" s="78" cm="1">
        <f t="array" ref="O455">IF(M455&lt;12.5, 0,
IF(M455&lt;29, 6.25,
IF(M455&lt;50, 6.5,
IF(M455&lt;79, 6.75,
VALUE(SUBSTITUTE(
INDEX(RESUMO!$J$2:$J$100, MATCH(1,
(D455&gt;=RESUMO!$H$2:$H$100)*(D455&lt;=RESUMO!$I$2:$I$100)*(M455&gt;=RESUMO!$K$2:$K$100)*(M455&lt;=RESUMO!$L$2:$L$100),
0)), "R$ ", ""))
))))</f>
        <v>0</v>
      </c>
      <c r="P455" s="9"/>
      <c r="Q455" s="10" t="e">
        <f t="shared" si="79"/>
        <v>#DIV/0!</v>
      </c>
      <c r="R455" s="5">
        <f t="shared" si="80"/>
        <v>0</v>
      </c>
      <c r="S455" s="5">
        <f t="shared" si="81"/>
        <v>0</v>
      </c>
      <c r="T455" s="5">
        <f t="shared" si="82"/>
        <v>0</v>
      </c>
      <c r="U455" s="5">
        <f t="shared" si="83"/>
        <v>0</v>
      </c>
    </row>
    <row r="456" spans="1:21" x14ac:dyDescent="0.25">
      <c r="A456" s="11"/>
      <c r="B456" s="6" t="s">
        <v>516</v>
      </c>
      <c r="C456" s="9"/>
      <c r="D456" s="6"/>
      <c r="E456" s="8"/>
      <c r="F456" s="49"/>
      <c r="G456" s="9"/>
      <c r="H456" s="9"/>
      <c r="I456" s="48"/>
      <c r="J456" s="78" cm="1">
        <f t="array" ref="J456">IF(H456&lt;12.5, H456/2,
IF(H456&lt;29, 6.25,
IF(H456&lt;50, 6.5,
IF(H456&lt;79, 6.75,
VALUE(SUBSTITUTE(
INDEX(RESUMO!$J$2:$J$100, MATCH(1,
(D456&gt;=RESUMO!$H$2:$H$100)*(D456&lt;=RESUMO!$I$2:$I$100)*(H456&gt;=RESUMO!$K$2:$K$100)*(H456&lt;=RESUMO!$L$2:$L$100),
0)), "R$ ", ""))
))))</f>
        <v>0</v>
      </c>
      <c r="K456" s="9"/>
      <c r="L456" s="10" t="e">
        <f t="shared" si="78"/>
        <v>#DIV/0!</v>
      </c>
      <c r="M456" s="7"/>
      <c r="N456" s="48"/>
      <c r="O456" s="78" cm="1">
        <f t="array" ref="O456">IF(M456&lt;12.5, 0,
IF(M456&lt;29, 6.25,
IF(M456&lt;50, 6.5,
IF(M456&lt;79, 6.75,
VALUE(SUBSTITUTE(
INDEX(RESUMO!$J$2:$J$100, MATCH(1,
(D456&gt;=RESUMO!$H$2:$H$100)*(D456&lt;=RESUMO!$I$2:$I$100)*(M456&gt;=RESUMO!$K$2:$K$100)*(M456&lt;=RESUMO!$L$2:$L$100),
0)), "R$ ", ""))
))))</f>
        <v>0</v>
      </c>
      <c r="P456" s="9"/>
      <c r="Q456" s="10" t="e">
        <f t="shared" si="79"/>
        <v>#DIV/0!</v>
      </c>
      <c r="R456" s="5">
        <f t="shared" si="80"/>
        <v>0</v>
      </c>
      <c r="S456" s="5">
        <f t="shared" si="81"/>
        <v>0</v>
      </c>
      <c r="T456" s="5">
        <f t="shared" si="82"/>
        <v>0</v>
      </c>
      <c r="U456" s="5">
        <f t="shared" si="83"/>
        <v>0</v>
      </c>
    </row>
    <row r="457" spans="1:21" x14ac:dyDescent="0.25">
      <c r="A457" s="11"/>
      <c r="B457" s="6" t="s">
        <v>517</v>
      </c>
      <c r="C457" s="9"/>
      <c r="D457" s="6"/>
      <c r="E457" s="8"/>
      <c r="F457" s="49"/>
      <c r="G457" s="9"/>
      <c r="H457" s="9"/>
      <c r="I457" s="48"/>
      <c r="J457" s="78" cm="1">
        <f t="array" ref="J457">IF(H457&lt;12.5, H457/2,
IF(H457&lt;29, 6.25,
IF(H457&lt;50, 6.5,
IF(H457&lt;79, 6.75,
VALUE(SUBSTITUTE(
INDEX(RESUMO!$J$2:$J$100, MATCH(1,
(D457&gt;=RESUMO!$H$2:$H$100)*(D457&lt;=RESUMO!$I$2:$I$100)*(H457&gt;=RESUMO!$K$2:$K$100)*(H457&lt;=RESUMO!$L$2:$L$100),
0)), "R$ ", ""))
))))</f>
        <v>0</v>
      </c>
      <c r="K457" s="9"/>
      <c r="L457" s="10" t="e">
        <f t="shared" si="78"/>
        <v>#DIV/0!</v>
      </c>
      <c r="M457" s="7"/>
      <c r="N457" s="48"/>
      <c r="O457" s="78" cm="1">
        <f t="array" ref="O457">IF(M457&lt;12.5, 0,
IF(M457&lt;29, 6.25,
IF(M457&lt;50, 6.5,
IF(M457&lt;79, 6.75,
VALUE(SUBSTITUTE(
INDEX(RESUMO!$J$2:$J$100, MATCH(1,
(D457&gt;=RESUMO!$H$2:$H$100)*(D457&lt;=RESUMO!$I$2:$I$100)*(M457&gt;=RESUMO!$K$2:$K$100)*(M457&lt;=RESUMO!$L$2:$L$100),
0)), "R$ ", ""))
))))</f>
        <v>0</v>
      </c>
      <c r="P457" s="9"/>
      <c r="Q457" s="10" t="e">
        <f t="shared" si="79"/>
        <v>#DIV/0!</v>
      </c>
      <c r="R457" s="5">
        <f t="shared" si="80"/>
        <v>0</v>
      </c>
      <c r="S457" s="5">
        <f t="shared" si="81"/>
        <v>0</v>
      </c>
      <c r="T457" s="5">
        <f t="shared" si="82"/>
        <v>0</v>
      </c>
      <c r="U457" s="5">
        <f t="shared" si="83"/>
        <v>0</v>
      </c>
    </row>
    <row r="458" spans="1:21" x14ac:dyDescent="0.25">
      <c r="A458" s="11"/>
      <c r="B458" s="6" t="s">
        <v>518</v>
      </c>
      <c r="C458" s="9"/>
      <c r="D458" s="6"/>
      <c r="E458" s="8"/>
      <c r="F458" s="49"/>
      <c r="G458" s="9"/>
      <c r="H458" s="9"/>
      <c r="I458" s="48"/>
      <c r="J458" s="78" cm="1">
        <f t="array" ref="J458">IF(H458&lt;12.5, H458/2,
IF(H458&lt;29, 6.25,
IF(H458&lt;50, 6.5,
IF(H458&lt;79, 6.75,
VALUE(SUBSTITUTE(
INDEX(RESUMO!$J$2:$J$100, MATCH(1,
(D458&gt;=RESUMO!$H$2:$H$100)*(D458&lt;=RESUMO!$I$2:$I$100)*(H458&gt;=RESUMO!$K$2:$K$100)*(H458&lt;=RESUMO!$L$2:$L$100),
0)), "R$ ", ""))
))))</f>
        <v>0</v>
      </c>
      <c r="K458" s="9"/>
      <c r="L458" s="10" t="e">
        <f t="shared" si="78"/>
        <v>#DIV/0!</v>
      </c>
      <c r="M458" s="7"/>
      <c r="N458" s="48"/>
      <c r="O458" s="78" cm="1">
        <f t="array" ref="O458">IF(M458&lt;12.5, 0,
IF(M458&lt;29, 6.25,
IF(M458&lt;50, 6.5,
IF(M458&lt;79, 6.75,
VALUE(SUBSTITUTE(
INDEX(RESUMO!$J$2:$J$100, MATCH(1,
(D458&gt;=RESUMO!$H$2:$H$100)*(D458&lt;=RESUMO!$I$2:$I$100)*(M458&gt;=RESUMO!$K$2:$K$100)*(M458&lt;=RESUMO!$L$2:$L$100),
0)), "R$ ", ""))
))))</f>
        <v>0</v>
      </c>
      <c r="P458" s="9"/>
      <c r="Q458" s="10" t="e">
        <f t="shared" si="79"/>
        <v>#DIV/0!</v>
      </c>
      <c r="R458" s="5">
        <f t="shared" si="80"/>
        <v>0</v>
      </c>
      <c r="S458" s="5">
        <f t="shared" si="81"/>
        <v>0</v>
      </c>
      <c r="T458" s="5">
        <f t="shared" si="82"/>
        <v>0</v>
      </c>
      <c r="U458" s="5">
        <f t="shared" si="83"/>
        <v>0</v>
      </c>
    </row>
    <row r="459" spans="1:21" x14ac:dyDescent="0.25">
      <c r="A459" s="11"/>
      <c r="B459" s="6" t="s">
        <v>519</v>
      </c>
      <c r="C459" s="9"/>
      <c r="D459" s="6"/>
      <c r="E459" s="8"/>
      <c r="F459" s="49"/>
      <c r="G459" s="9"/>
      <c r="H459" s="9"/>
      <c r="I459" s="48"/>
      <c r="J459" s="78" cm="1">
        <f t="array" ref="J459">IF(H459&lt;12.5, H459/2,
IF(H459&lt;29, 6.25,
IF(H459&lt;50, 6.5,
IF(H459&lt;79, 6.75,
VALUE(SUBSTITUTE(
INDEX(RESUMO!$J$2:$J$100, MATCH(1,
(D459&gt;=RESUMO!$H$2:$H$100)*(D459&lt;=RESUMO!$I$2:$I$100)*(H459&gt;=RESUMO!$K$2:$K$100)*(H459&lt;=RESUMO!$L$2:$L$100),
0)), "R$ ", ""))
))))</f>
        <v>0</v>
      </c>
      <c r="K459" s="9"/>
      <c r="L459" s="10" t="e">
        <f t="shared" si="78"/>
        <v>#DIV/0!</v>
      </c>
      <c r="M459" s="7"/>
      <c r="N459" s="48"/>
      <c r="O459" s="78" cm="1">
        <f t="array" ref="O459">IF(M459&lt;12.5, 0,
IF(M459&lt;29, 6.25,
IF(M459&lt;50, 6.5,
IF(M459&lt;79, 6.75,
VALUE(SUBSTITUTE(
INDEX(RESUMO!$J$2:$J$100, MATCH(1,
(D459&gt;=RESUMO!$H$2:$H$100)*(D459&lt;=RESUMO!$I$2:$I$100)*(M459&gt;=RESUMO!$K$2:$K$100)*(M459&lt;=RESUMO!$L$2:$L$100),
0)), "R$ ", ""))
))))</f>
        <v>0</v>
      </c>
      <c r="P459" s="9"/>
      <c r="Q459" s="10" t="e">
        <f t="shared" si="79"/>
        <v>#DIV/0!</v>
      </c>
      <c r="R459" s="5">
        <f t="shared" si="80"/>
        <v>0</v>
      </c>
      <c r="S459" s="5">
        <f t="shared" si="81"/>
        <v>0</v>
      </c>
      <c r="T459" s="5">
        <f t="shared" si="82"/>
        <v>0</v>
      </c>
      <c r="U459" s="5">
        <f t="shared" si="83"/>
        <v>0</v>
      </c>
    </row>
    <row r="460" spans="1:21" x14ac:dyDescent="0.25">
      <c r="A460" s="11"/>
      <c r="B460" s="6" t="s">
        <v>520</v>
      </c>
      <c r="C460" s="9"/>
      <c r="D460" s="6"/>
      <c r="E460" s="8"/>
      <c r="F460" s="49"/>
      <c r="G460" s="9"/>
      <c r="H460" s="9"/>
      <c r="I460" s="48"/>
      <c r="J460" s="78" cm="1">
        <f t="array" ref="J460">IF(H460&lt;12.5, H460/2,
IF(H460&lt;29, 6.25,
IF(H460&lt;50, 6.5,
IF(H460&lt;79, 6.75,
VALUE(SUBSTITUTE(
INDEX(RESUMO!$J$2:$J$100, MATCH(1,
(D460&gt;=RESUMO!$H$2:$H$100)*(D460&lt;=RESUMO!$I$2:$I$100)*(H460&gt;=RESUMO!$K$2:$K$100)*(H460&lt;=RESUMO!$L$2:$L$100),
0)), "R$ ", ""))
))))</f>
        <v>0</v>
      </c>
      <c r="K460" s="9"/>
      <c r="L460" s="10" t="e">
        <f t="shared" si="78"/>
        <v>#DIV/0!</v>
      </c>
      <c r="M460" s="7"/>
      <c r="N460" s="48"/>
      <c r="O460" s="78" cm="1">
        <f t="array" ref="O460">IF(M460&lt;12.5, 0,
IF(M460&lt;29, 6.25,
IF(M460&lt;50, 6.5,
IF(M460&lt;79, 6.75,
VALUE(SUBSTITUTE(
INDEX(RESUMO!$J$2:$J$100, MATCH(1,
(D460&gt;=RESUMO!$H$2:$H$100)*(D460&lt;=RESUMO!$I$2:$I$100)*(M460&gt;=RESUMO!$K$2:$K$100)*(M460&lt;=RESUMO!$L$2:$L$100),
0)), "R$ ", ""))
))))</f>
        <v>0</v>
      </c>
      <c r="P460" s="9"/>
      <c r="Q460" s="10" t="e">
        <f t="shared" si="79"/>
        <v>#DIV/0!</v>
      </c>
      <c r="R460" s="5">
        <f t="shared" si="80"/>
        <v>0</v>
      </c>
      <c r="S460" s="5">
        <f t="shared" si="81"/>
        <v>0</v>
      </c>
      <c r="T460" s="5">
        <f t="shared" si="82"/>
        <v>0</v>
      </c>
      <c r="U460" s="5">
        <f t="shared" si="83"/>
        <v>0</v>
      </c>
    </row>
    <row r="461" spans="1:21" x14ac:dyDescent="0.25">
      <c r="A461" s="11"/>
      <c r="B461" s="6" t="s">
        <v>521</v>
      </c>
      <c r="C461" s="9"/>
      <c r="D461" s="6"/>
      <c r="E461" s="8"/>
      <c r="F461" s="49"/>
      <c r="G461" s="9"/>
      <c r="H461" s="9"/>
      <c r="I461" s="48"/>
      <c r="J461" s="78" cm="1">
        <f t="array" ref="J461">IF(H461&lt;12.5, H461/2,
IF(H461&lt;29, 6.25,
IF(H461&lt;50, 6.5,
IF(H461&lt;79, 6.75,
VALUE(SUBSTITUTE(
INDEX(RESUMO!$J$2:$J$100, MATCH(1,
(D461&gt;=RESUMO!$H$2:$H$100)*(D461&lt;=RESUMO!$I$2:$I$100)*(H461&gt;=RESUMO!$K$2:$K$100)*(H461&lt;=RESUMO!$L$2:$L$100),
0)), "R$ ", ""))
))))</f>
        <v>0</v>
      </c>
      <c r="K461" s="9"/>
      <c r="L461" s="10" t="e">
        <f t="shared" si="78"/>
        <v>#DIV/0!</v>
      </c>
      <c r="M461" s="7"/>
      <c r="N461" s="48"/>
      <c r="O461" s="78" cm="1">
        <f t="array" ref="O461">IF(M461&lt;12.5, 0,
IF(M461&lt;29, 6.25,
IF(M461&lt;50, 6.5,
IF(M461&lt;79, 6.75,
VALUE(SUBSTITUTE(
INDEX(RESUMO!$J$2:$J$100, MATCH(1,
(D461&gt;=RESUMO!$H$2:$H$100)*(D461&lt;=RESUMO!$I$2:$I$100)*(M461&gt;=RESUMO!$K$2:$K$100)*(M461&lt;=RESUMO!$L$2:$L$100),
0)), "R$ ", ""))
))))</f>
        <v>0</v>
      </c>
      <c r="P461" s="9"/>
      <c r="Q461" s="10" t="e">
        <f t="shared" si="79"/>
        <v>#DIV/0!</v>
      </c>
      <c r="R461" s="5">
        <f t="shared" si="80"/>
        <v>0</v>
      </c>
      <c r="S461" s="5">
        <f t="shared" si="81"/>
        <v>0</v>
      </c>
      <c r="T461" s="5">
        <f t="shared" si="82"/>
        <v>0</v>
      </c>
      <c r="U461" s="5">
        <f t="shared" si="83"/>
        <v>0</v>
      </c>
    </row>
    <row r="462" spans="1:21" x14ac:dyDescent="0.25">
      <c r="A462" s="11"/>
      <c r="B462" s="6" t="s">
        <v>522</v>
      </c>
      <c r="C462" s="9"/>
      <c r="D462" s="6"/>
      <c r="E462" s="8"/>
      <c r="F462" s="49"/>
      <c r="G462" s="9"/>
      <c r="H462" s="9"/>
      <c r="I462" s="48"/>
      <c r="J462" s="78" cm="1">
        <f t="array" ref="J462">IF(H462&lt;12.5, H462/2,
IF(H462&lt;29, 6.25,
IF(H462&lt;50, 6.5,
IF(H462&lt;79, 6.75,
VALUE(SUBSTITUTE(
INDEX(RESUMO!$J$2:$J$100, MATCH(1,
(D462&gt;=RESUMO!$H$2:$H$100)*(D462&lt;=RESUMO!$I$2:$I$100)*(H462&gt;=RESUMO!$K$2:$K$100)*(H462&lt;=RESUMO!$L$2:$L$100),
0)), "R$ ", ""))
))))</f>
        <v>0</v>
      </c>
      <c r="K462" s="9"/>
      <c r="L462" s="10" t="e">
        <f t="shared" si="78"/>
        <v>#DIV/0!</v>
      </c>
      <c r="M462" s="7"/>
      <c r="N462" s="48"/>
      <c r="O462" s="78" cm="1">
        <f t="array" ref="O462">IF(M462&lt;12.5, 0,
IF(M462&lt;29, 6.25,
IF(M462&lt;50, 6.5,
IF(M462&lt;79, 6.75,
VALUE(SUBSTITUTE(
INDEX(RESUMO!$J$2:$J$100, MATCH(1,
(D462&gt;=RESUMO!$H$2:$H$100)*(D462&lt;=RESUMO!$I$2:$I$100)*(M462&gt;=RESUMO!$K$2:$K$100)*(M462&lt;=RESUMO!$L$2:$L$100),
0)), "R$ ", ""))
))))</f>
        <v>0</v>
      </c>
      <c r="P462" s="9"/>
      <c r="Q462" s="10" t="e">
        <f t="shared" si="79"/>
        <v>#DIV/0!</v>
      </c>
      <c r="R462" s="5">
        <f t="shared" si="80"/>
        <v>0</v>
      </c>
      <c r="S462" s="5">
        <f t="shared" si="81"/>
        <v>0</v>
      </c>
      <c r="T462" s="5">
        <f t="shared" si="82"/>
        <v>0</v>
      </c>
      <c r="U462" s="5">
        <f t="shared" si="83"/>
        <v>0</v>
      </c>
    </row>
    <row r="463" spans="1:21" x14ac:dyDescent="0.25">
      <c r="A463" s="11"/>
      <c r="B463" s="6" t="s">
        <v>523</v>
      </c>
      <c r="C463" s="9"/>
      <c r="D463" s="6"/>
      <c r="E463" s="8"/>
      <c r="F463" s="49"/>
      <c r="G463" s="9"/>
      <c r="H463" s="9"/>
      <c r="I463" s="48"/>
      <c r="J463" s="78" cm="1">
        <f t="array" ref="J463">IF(H463&lt;12.5, H463/2,
IF(H463&lt;29, 6.25,
IF(H463&lt;50, 6.5,
IF(H463&lt;79, 6.75,
VALUE(SUBSTITUTE(
INDEX(RESUMO!$J$2:$J$100, MATCH(1,
(D463&gt;=RESUMO!$H$2:$H$100)*(D463&lt;=RESUMO!$I$2:$I$100)*(H463&gt;=RESUMO!$K$2:$K$100)*(H463&lt;=RESUMO!$L$2:$L$100),
0)), "R$ ", ""))
))))</f>
        <v>0</v>
      </c>
      <c r="K463" s="9"/>
      <c r="L463" s="10" t="e">
        <f t="shared" si="78"/>
        <v>#DIV/0!</v>
      </c>
      <c r="M463" s="7"/>
      <c r="N463" s="48"/>
      <c r="O463" s="78" cm="1">
        <f t="array" ref="O463">IF(M463&lt;12.5, 0,
IF(M463&lt;29, 6.25,
IF(M463&lt;50, 6.5,
IF(M463&lt;79, 6.75,
VALUE(SUBSTITUTE(
INDEX(RESUMO!$J$2:$J$100, MATCH(1,
(D463&gt;=RESUMO!$H$2:$H$100)*(D463&lt;=RESUMO!$I$2:$I$100)*(M463&gt;=RESUMO!$K$2:$K$100)*(M463&lt;=RESUMO!$L$2:$L$100),
0)), "R$ ", ""))
))))</f>
        <v>0</v>
      </c>
      <c r="P463" s="9"/>
      <c r="Q463" s="10" t="e">
        <f t="shared" si="79"/>
        <v>#DIV/0!</v>
      </c>
      <c r="R463" s="5">
        <f t="shared" si="80"/>
        <v>0</v>
      </c>
      <c r="S463" s="5">
        <f t="shared" si="81"/>
        <v>0</v>
      </c>
      <c r="T463" s="5">
        <f t="shared" si="82"/>
        <v>0</v>
      </c>
      <c r="U463" s="5">
        <f t="shared" si="83"/>
        <v>0</v>
      </c>
    </row>
    <row r="464" spans="1:21" x14ac:dyDescent="0.25">
      <c r="A464" s="11"/>
      <c r="B464" s="6" t="s">
        <v>524</v>
      </c>
      <c r="C464" s="9"/>
      <c r="D464" s="6"/>
      <c r="E464" s="8"/>
      <c r="F464" s="49"/>
      <c r="G464" s="9"/>
      <c r="H464" s="9"/>
      <c r="I464" s="48"/>
      <c r="J464" s="78" cm="1">
        <f t="array" ref="J464">IF(H464&lt;12.5, H464/2,
IF(H464&lt;29, 6.25,
IF(H464&lt;50, 6.5,
IF(H464&lt;79, 6.75,
VALUE(SUBSTITUTE(
INDEX(RESUMO!$J$2:$J$100, MATCH(1,
(D464&gt;=RESUMO!$H$2:$H$100)*(D464&lt;=RESUMO!$I$2:$I$100)*(H464&gt;=RESUMO!$K$2:$K$100)*(H464&lt;=RESUMO!$L$2:$L$100),
0)), "R$ ", ""))
))))</f>
        <v>0</v>
      </c>
      <c r="K464" s="9"/>
      <c r="L464" s="10" t="e">
        <f t="shared" si="78"/>
        <v>#DIV/0!</v>
      </c>
      <c r="M464" s="7"/>
      <c r="N464" s="48"/>
      <c r="O464" s="78" cm="1">
        <f t="array" ref="O464">IF(M464&lt;12.5, 0,
IF(M464&lt;29, 6.25,
IF(M464&lt;50, 6.5,
IF(M464&lt;79, 6.75,
VALUE(SUBSTITUTE(
INDEX(RESUMO!$J$2:$J$100, MATCH(1,
(D464&gt;=RESUMO!$H$2:$H$100)*(D464&lt;=RESUMO!$I$2:$I$100)*(M464&gt;=RESUMO!$K$2:$K$100)*(M464&lt;=RESUMO!$L$2:$L$100),
0)), "R$ ", ""))
))))</f>
        <v>0</v>
      </c>
      <c r="P464" s="9"/>
      <c r="Q464" s="10" t="e">
        <f t="shared" si="79"/>
        <v>#DIV/0!</v>
      </c>
      <c r="R464" s="5">
        <f t="shared" si="80"/>
        <v>0</v>
      </c>
      <c r="S464" s="5">
        <f t="shared" si="81"/>
        <v>0</v>
      </c>
      <c r="T464" s="5">
        <f t="shared" si="82"/>
        <v>0</v>
      </c>
      <c r="U464" s="5">
        <f t="shared" si="83"/>
        <v>0</v>
      </c>
    </row>
    <row r="465" spans="1:21" x14ac:dyDescent="0.25">
      <c r="A465" s="11"/>
      <c r="B465" s="6" t="s">
        <v>525</v>
      </c>
      <c r="C465" s="9"/>
      <c r="D465" s="6"/>
      <c r="E465" s="8"/>
      <c r="F465" s="49"/>
      <c r="G465" s="9"/>
      <c r="H465" s="9"/>
      <c r="I465" s="48"/>
      <c r="J465" s="78" cm="1">
        <f t="array" ref="J465">IF(H465&lt;12.5, H465/2,
IF(H465&lt;29, 6.25,
IF(H465&lt;50, 6.5,
IF(H465&lt;79, 6.75,
VALUE(SUBSTITUTE(
INDEX(RESUMO!$J$2:$J$100, MATCH(1,
(D465&gt;=RESUMO!$H$2:$H$100)*(D465&lt;=RESUMO!$I$2:$I$100)*(H465&gt;=RESUMO!$K$2:$K$100)*(H465&lt;=RESUMO!$L$2:$L$100),
0)), "R$ ", ""))
))))</f>
        <v>0</v>
      </c>
      <c r="K465" s="9"/>
      <c r="L465" s="10" t="e">
        <f t="shared" si="78"/>
        <v>#DIV/0!</v>
      </c>
      <c r="M465" s="7"/>
      <c r="N465" s="48"/>
      <c r="O465" s="78" cm="1">
        <f t="array" ref="O465">IF(M465&lt;12.5, 0,
IF(M465&lt;29, 6.25,
IF(M465&lt;50, 6.5,
IF(M465&lt;79, 6.75,
VALUE(SUBSTITUTE(
INDEX(RESUMO!$J$2:$J$100, MATCH(1,
(D465&gt;=RESUMO!$H$2:$H$100)*(D465&lt;=RESUMO!$I$2:$I$100)*(M465&gt;=RESUMO!$K$2:$K$100)*(M465&lt;=RESUMO!$L$2:$L$100),
0)), "R$ ", ""))
))))</f>
        <v>0</v>
      </c>
      <c r="P465" s="9"/>
      <c r="Q465" s="10" t="e">
        <f t="shared" si="79"/>
        <v>#DIV/0!</v>
      </c>
      <c r="R465" s="5">
        <f t="shared" si="80"/>
        <v>0</v>
      </c>
      <c r="S465" s="5">
        <f t="shared" si="81"/>
        <v>0</v>
      </c>
      <c r="T465" s="5">
        <f t="shared" si="82"/>
        <v>0</v>
      </c>
      <c r="U465" s="5">
        <f t="shared" si="83"/>
        <v>0</v>
      </c>
    </row>
    <row r="466" spans="1:21" x14ac:dyDescent="0.25">
      <c r="A466" s="11"/>
      <c r="B466" s="6" t="s">
        <v>526</v>
      </c>
      <c r="C466" s="9"/>
      <c r="D466" s="6"/>
      <c r="E466" s="8"/>
      <c r="F466" s="49"/>
      <c r="G466" s="9"/>
      <c r="H466" s="9"/>
      <c r="I466" s="48"/>
      <c r="J466" s="78" cm="1">
        <f t="array" ref="J466">IF(H466&lt;12.5, H466/2,
IF(H466&lt;29, 6.25,
IF(H466&lt;50, 6.5,
IF(H466&lt;79, 6.75,
VALUE(SUBSTITUTE(
INDEX(RESUMO!$J$2:$J$100, MATCH(1,
(D466&gt;=RESUMO!$H$2:$H$100)*(D466&lt;=RESUMO!$I$2:$I$100)*(H466&gt;=RESUMO!$K$2:$K$100)*(H466&lt;=RESUMO!$L$2:$L$100),
0)), "R$ ", ""))
))))</f>
        <v>0</v>
      </c>
      <c r="K466" s="9"/>
      <c r="L466" s="10" t="e">
        <f t="shared" ref="L466:L516" si="84">S466/H466</f>
        <v>#DIV/0!</v>
      </c>
      <c r="M466" s="7"/>
      <c r="N466" s="48"/>
      <c r="O466" s="78" cm="1">
        <f t="array" ref="O466">IF(M466&lt;12.5, 0,
IF(M466&lt;29, 6.25,
IF(M466&lt;50, 6.5,
IF(M466&lt;79, 6.75,
VALUE(SUBSTITUTE(
INDEX(RESUMO!$J$2:$J$100, MATCH(1,
(D466&gt;=RESUMO!$H$2:$H$100)*(D466&lt;=RESUMO!$I$2:$I$100)*(M466&gt;=RESUMO!$K$2:$K$100)*(M466&lt;=RESUMO!$L$2:$L$100),
0)), "R$ ", ""))
))))</f>
        <v>0</v>
      </c>
      <c r="P466" s="9"/>
      <c r="Q466" s="10" t="e">
        <f t="shared" ref="Q466:Q516" si="85">U466/M466</f>
        <v>#DIV/0!</v>
      </c>
      <c r="R466" s="5">
        <f t="shared" ref="R466:R516" si="86">(H466-(H466*I466)-J466-(C466*E466)+K466)</f>
        <v>0</v>
      </c>
      <c r="S466" s="5">
        <f t="shared" ref="S466:S516" si="87">R466-(C466-F466)</f>
        <v>0</v>
      </c>
      <c r="T466" s="5">
        <f t="shared" ref="T466:T516" si="88">(M466-(M466*N466)-O466-(C466*E466)+P466)</f>
        <v>0</v>
      </c>
      <c r="U466" s="5">
        <f t="shared" ref="U466:U516" si="89">T466-(C466-F466)</f>
        <v>0</v>
      </c>
    </row>
    <row r="467" spans="1:21" x14ac:dyDescent="0.25">
      <c r="A467" s="11"/>
      <c r="B467" s="6" t="s">
        <v>527</v>
      </c>
      <c r="C467" s="9"/>
      <c r="D467" s="6"/>
      <c r="E467" s="8"/>
      <c r="F467" s="49"/>
      <c r="G467" s="9"/>
      <c r="H467" s="9"/>
      <c r="I467" s="48"/>
      <c r="J467" s="78" cm="1">
        <f t="array" ref="J467">IF(H467&lt;12.5, H467/2,
IF(H467&lt;29, 6.25,
IF(H467&lt;50, 6.5,
IF(H467&lt;79, 6.75,
VALUE(SUBSTITUTE(
INDEX(RESUMO!$J$2:$J$100, MATCH(1,
(D467&gt;=RESUMO!$H$2:$H$100)*(D467&lt;=RESUMO!$I$2:$I$100)*(H467&gt;=RESUMO!$K$2:$K$100)*(H467&lt;=RESUMO!$L$2:$L$100),
0)), "R$ ", ""))
))))</f>
        <v>0</v>
      </c>
      <c r="K467" s="9"/>
      <c r="L467" s="10" t="e">
        <f t="shared" si="84"/>
        <v>#DIV/0!</v>
      </c>
      <c r="M467" s="7"/>
      <c r="N467" s="48"/>
      <c r="O467" s="78" cm="1">
        <f t="array" ref="O467">IF(M467&lt;12.5, 0,
IF(M467&lt;29, 6.25,
IF(M467&lt;50, 6.5,
IF(M467&lt;79, 6.75,
VALUE(SUBSTITUTE(
INDEX(RESUMO!$J$2:$J$100, MATCH(1,
(D467&gt;=RESUMO!$H$2:$H$100)*(D467&lt;=RESUMO!$I$2:$I$100)*(M467&gt;=RESUMO!$K$2:$K$100)*(M467&lt;=RESUMO!$L$2:$L$100),
0)), "R$ ", ""))
))))</f>
        <v>0</v>
      </c>
      <c r="P467" s="9"/>
      <c r="Q467" s="10" t="e">
        <f t="shared" si="85"/>
        <v>#DIV/0!</v>
      </c>
      <c r="R467" s="5">
        <f t="shared" si="86"/>
        <v>0</v>
      </c>
      <c r="S467" s="5">
        <f t="shared" si="87"/>
        <v>0</v>
      </c>
      <c r="T467" s="5">
        <f t="shared" si="88"/>
        <v>0</v>
      </c>
      <c r="U467" s="5">
        <f t="shared" si="89"/>
        <v>0</v>
      </c>
    </row>
    <row r="468" spans="1:21" x14ac:dyDescent="0.25">
      <c r="A468" s="11"/>
      <c r="B468" s="6" t="s">
        <v>528</v>
      </c>
      <c r="C468" s="9"/>
      <c r="D468" s="6"/>
      <c r="E468" s="8"/>
      <c r="F468" s="49"/>
      <c r="G468" s="9"/>
      <c r="H468" s="9"/>
      <c r="I468" s="48"/>
      <c r="J468" s="78" cm="1">
        <f t="array" ref="J468">IF(H468&lt;12.5, H468/2,
IF(H468&lt;29, 6.25,
IF(H468&lt;50, 6.5,
IF(H468&lt;79, 6.75,
VALUE(SUBSTITUTE(
INDEX(RESUMO!$J$2:$J$100, MATCH(1,
(D468&gt;=RESUMO!$H$2:$H$100)*(D468&lt;=RESUMO!$I$2:$I$100)*(H468&gt;=RESUMO!$K$2:$K$100)*(H468&lt;=RESUMO!$L$2:$L$100),
0)), "R$ ", ""))
))))</f>
        <v>0</v>
      </c>
      <c r="K468" s="9"/>
      <c r="L468" s="10" t="e">
        <f t="shared" si="84"/>
        <v>#DIV/0!</v>
      </c>
      <c r="M468" s="7"/>
      <c r="N468" s="48"/>
      <c r="O468" s="78" cm="1">
        <f t="array" ref="O468">IF(M468&lt;12.5, 0,
IF(M468&lt;29, 6.25,
IF(M468&lt;50, 6.5,
IF(M468&lt;79, 6.75,
VALUE(SUBSTITUTE(
INDEX(RESUMO!$J$2:$J$100, MATCH(1,
(D468&gt;=RESUMO!$H$2:$H$100)*(D468&lt;=RESUMO!$I$2:$I$100)*(M468&gt;=RESUMO!$K$2:$K$100)*(M468&lt;=RESUMO!$L$2:$L$100),
0)), "R$ ", ""))
))))</f>
        <v>0</v>
      </c>
      <c r="P468" s="9"/>
      <c r="Q468" s="10" t="e">
        <f t="shared" si="85"/>
        <v>#DIV/0!</v>
      </c>
      <c r="R468" s="5">
        <f t="shared" si="86"/>
        <v>0</v>
      </c>
      <c r="S468" s="5">
        <f t="shared" si="87"/>
        <v>0</v>
      </c>
      <c r="T468" s="5">
        <f t="shared" si="88"/>
        <v>0</v>
      </c>
      <c r="U468" s="5">
        <f t="shared" si="89"/>
        <v>0</v>
      </c>
    </row>
    <row r="469" spans="1:21" x14ac:dyDescent="0.25">
      <c r="A469" s="11"/>
      <c r="B469" s="6">
        <v>740617317879</v>
      </c>
      <c r="C469" s="9"/>
      <c r="D469" s="6"/>
      <c r="E469" s="8"/>
      <c r="F469" s="49"/>
      <c r="G469" s="9"/>
      <c r="H469" s="9"/>
      <c r="I469" s="48"/>
      <c r="J469" s="78" cm="1">
        <f t="array" ref="J469">IF(H469&lt;12.5, H469/2,
IF(H469&lt;29, 6.25,
IF(H469&lt;50, 6.5,
IF(H469&lt;79, 6.75,
VALUE(SUBSTITUTE(
INDEX(RESUMO!$J$2:$J$100, MATCH(1,
(D469&gt;=RESUMO!$H$2:$H$100)*(D469&lt;=RESUMO!$I$2:$I$100)*(H469&gt;=RESUMO!$K$2:$K$100)*(H469&lt;=RESUMO!$L$2:$L$100),
0)), "R$ ", ""))
))))</f>
        <v>0</v>
      </c>
      <c r="K469" s="9"/>
      <c r="L469" s="10" t="e">
        <f t="shared" si="84"/>
        <v>#DIV/0!</v>
      </c>
      <c r="M469" s="7"/>
      <c r="N469" s="48"/>
      <c r="O469" s="78" cm="1">
        <f t="array" ref="O469">IF(M469&lt;12.5, 0,
IF(M469&lt;29, 6.25,
IF(M469&lt;50, 6.5,
IF(M469&lt;79, 6.75,
VALUE(SUBSTITUTE(
INDEX(RESUMO!$J$2:$J$100, MATCH(1,
(D469&gt;=RESUMO!$H$2:$H$100)*(D469&lt;=RESUMO!$I$2:$I$100)*(M469&gt;=RESUMO!$K$2:$K$100)*(M469&lt;=RESUMO!$L$2:$L$100),
0)), "R$ ", ""))
))))</f>
        <v>0</v>
      </c>
      <c r="P469" s="9"/>
      <c r="Q469" s="10" t="e">
        <f t="shared" si="85"/>
        <v>#DIV/0!</v>
      </c>
      <c r="R469" s="5">
        <f t="shared" si="86"/>
        <v>0</v>
      </c>
      <c r="S469" s="5">
        <f t="shared" si="87"/>
        <v>0</v>
      </c>
      <c r="T469" s="5">
        <f t="shared" si="88"/>
        <v>0</v>
      </c>
      <c r="U469" s="5">
        <f t="shared" si="89"/>
        <v>0</v>
      </c>
    </row>
    <row r="470" spans="1:21" x14ac:dyDescent="0.25">
      <c r="A470" s="11" t="s">
        <v>33</v>
      </c>
      <c r="B470" s="6" t="s">
        <v>530</v>
      </c>
      <c r="C470" s="9">
        <v>118.13</v>
      </c>
      <c r="D470" s="6">
        <v>2</v>
      </c>
      <c r="E470" s="8">
        <v>0.04</v>
      </c>
      <c r="F470" s="49">
        <v>0</v>
      </c>
      <c r="G470" s="9">
        <v>0</v>
      </c>
      <c r="H470" s="9">
        <v>215</v>
      </c>
      <c r="I470" s="48">
        <v>0.12</v>
      </c>
      <c r="J470" s="78" cm="1">
        <f t="array" ref="J470">IF(H470&lt;12.5, H470/2,
IF(H470&lt;29, 6.25,
IF(H470&lt;50, 6.5,
IF(H470&lt;79, 6.75,
VALUE(SUBSTITUTE(
INDEX(RESUMO!$J$2:$J$100, MATCH(1,
(D470&gt;=RESUMO!$H$2:$H$100)*(D470&lt;=RESUMO!$I$2:$I$100)*(H470&gt;=RESUMO!$K$2:$K$100)*(H470&lt;=RESUMO!$L$2:$L$100),
0)), "R$ ", ""))
))))</f>
        <v>23.45</v>
      </c>
      <c r="K470" s="9">
        <v>0</v>
      </c>
      <c r="L470" s="10">
        <f t="shared" si="84"/>
        <v>0.19951069767441862</v>
      </c>
      <c r="M470" s="7"/>
      <c r="N470" s="48"/>
      <c r="O470" s="78" cm="1">
        <f t="array" ref="O470">IF(M470&lt;12.5, 0,
IF(M470&lt;29, 6.25,
IF(M470&lt;50, 6.5,
IF(M470&lt;79, 6.75,
VALUE(SUBSTITUTE(
INDEX(RESUMO!$J$2:$J$100, MATCH(1,
(D470&gt;=RESUMO!$H$2:$H$100)*(D470&lt;=RESUMO!$I$2:$I$100)*(M470&gt;=RESUMO!$K$2:$K$100)*(M470&lt;=RESUMO!$L$2:$L$100),
0)), "R$ ", ""))
))))</f>
        <v>0</v>
      </c>
      <c r="P470" s="9"/>
      <c r="Q470" s="10" t="e">
        <f t="shared" si="85"/>
        <v>#DIV/0!</v>
      </c>
      <c r="R470" s="5">
        <f t="shared" si="86"/>
        <v>161.0248</v>
      </c>
      <c r="S470" s="5">
        <f t="shared" si="87"/>
        <v>42.894800000000004</v>
      </c>
      <c r="T470" s="5">
        <f t="shared" si="88"/>
        <v>-4.7252000000000001</v>
      </c>
      <c r="U470" s="5">
        <f t="shared" si="89"/>
        <v>-122.8552</v>
      </c>
    </row>
    <row r="471" spans="1:21" x14ac:dyDescent="0.25">
      <c r="A471" s="11" t="s">
        <v>25</v>
      </c>
      <c r="B471" s="6" t="s">
        <v>531</v>
      </c>
      <c r="C471" s="9">
        <v>67.58</v>
      </c>
      <c r="D471" s="6">
        <v>0.5</v>
      </c>
      <c r="E471" s="8">
        <v>0.04</v>
      </c>
      <c r="F471" s="49">
        <v>0</v>
      </c>
      <c r="G471" s="9">
        <v>0</v>
      </c>
      <c r="H471" s="9">
        <v>129</v>
      </c>
      <c r="I471" s="48">
        <v>0.12</v>
      </c>
      <c r="J471" s="78" cm="1">
        <f t="array" ref="J471">IF(H471&lt;12.5, H471/2,
IF(H471&lt;29, 6.25,
IF(H471&lt;50, 6.5,
IF(H471&lt;79, 6.75,
VALUE(SUBSTITUTE(
INDEX(RESUMO!$J$2:$J$100, MATCH(1,
(D471&gt;=RESUMO!$H$2:$H$100)*(D471&lt;=RESUMO!$I$2:$I$100)*(H471&gt;=RESUMO!$K$2:$K$100)*(H471&lt;=RESUMO!$L$2:$L$100),
0)), "R$ ", ""))
))))</f>
        <v>17.16</v>
      </c>
      <c r="K471" s="9">
        <v>0</v>
      </c>
      <c r="L471" s="10">
        <f t="shared" si="84"/>
        <v>0.20214573643410857</v>
      </c>
      <c r="M471" s="7"/>
      <c r="N471" s="48"/>
      <c r="O471" s="78" cm="1">
        <f t="array" ref="O471">IF(M471&lt;12.5, 0,
IF(M471&lt;29, 6.25,
IF(M471&lt;50, 6.5,
IF(M471&lt;79, 6.75,
VALUE(SUBSTITUTE(
INDEX(RESUMO!$J$2:$J$100, MATCH(1,
(D471&gt;=RESUMO!$H$2:$H$100)*(D471&lt;=RESUMO!$I$2:$I$100)*(M471&gt;=RESUMO!$K$2:$K$100)*(M471&lt;=RESUMO!$L$2:$L$100),
0)), "R$ ", ""))
))))</f>
        <v>0</v>
      </c>
      <c r="P471" s="9"/>
      <c r="Q471" s="10" t="e">
        <f t="shared" si="85"/>
        <v>#DIV/0!</v>
      </c>
      <c r="R471" s="5">
        <f t="shared" si="86"/>
        <v>93.656800000000004</v>
      </c>
      <c r="S471" s="5">
        <f t="shared" si="87"/>
        <v>26.076800000000006</v>
      </c>
      <c r="T471" s="5">
        <f t="shared" si="88"/>
        <v>-2.7031999999999998</v>
      </c>
      <c r="U471" s="5">
        <f t="shared" si="89"/>
        <v>-70.283199999999994</v>
      </c>
    </row>
    <row r="472" spans="1:21" x14ac:dyDescent="0.25">
      <c r="A472" s="11" t="s">
        <v>33</v>
      </c>
      <c r="B472" s="6" t="s">
        <v>532</v>
      </c>
      <c r="C472" s="9">
        <v>75.81</v>
      </c>
      <c r="D472" s="6">
        <v>0.5</v>
      </c>
      <c r="E472" s="8">
        <v>0.04</v>
      </c>
      <c r="F472" s="49">
        <v>0</v>
      </c>
      <c r="G472" s="9">
        <v>0</v>
      </c>
      <c r="H472" s="9">
        <v>142</v>
      </c>
      <c r="I472" s="48">
        <v>0.12</v>
      </c>
      <c r="J472" s="78" cm="1">
        <f t="array" ref="J472">IF(H472&lt;12.5, H472/2,
IF(H472&lt;29, 6.25,
IF(H472&lt;50, 6.5,
IF(H472&lt;79, 6.75,
VALUE(SUBSTITUTE(
INDEX(RESUMO!$J$2:$J$100, MATCH(1,
(D472&gt;=RESUMO!$H$2:$H$100)*(D472&lt;=RESUMO!$I$2:$I$100)*(H472&gt;=RESUMO!$K$2:$K$100)*(H472&lt;=RESUMO!$L$2:$L$100),
0)), "R$ ", ""))
))))</f>
        <v>17.16</v>
      </c>
      <c r="K472" s="9">
        <v>0</v>
      </c>
      <c r="L472" s="10">
        <f t="shared" ref="L472:L511" si="90">S472/H472</f>
        <v>0.20392676056338038</v>
      </c>
      <c r="M472" s="7"/>
      <c r="N472" s="48"/>
      <c r="O472" s="78" cm="1">
        <f t="array" ref="O472">IF(M472&lt;12.5, 0,
IF(M472&lt;29, 6.25,
IF(M472&lt;50, 6.5,
IF(M472&lt;79, 6.75,
VALUE(SUBSTITUTE(
INDEX(RESUMO!$J$2:$J$100, MATCH(1,
(D472&gt;=RESUMO!$H$2:$H$100)*(D472&lt;=RESUMO!$I$2:$I$100)*(M472&gt;=RESUMO!$K$2:$K$100)*(M472&lt;=RESUMO!$L$2:$L$100),
0)), "R$ ", ""))
))))</f>
        <v>0</v>
      </c>
      <c r="P472" s="9"/>
      <c r="Q472" s="10" t="e">
        <f t="shared" ref="Q472:Q511" si="91">U472/M472</f>
        <v>#DIV/0!</v>
      </c>
      <c r="R472" s="5">
        <f t="shared" ref="R472:R511" si="92">(H472-(H472*I472)-J472-(C472*E472)+K472)</f>
        <v>104.76760000000002</v>
      </c>
      <c r="S472" s="5">
        <f t="shared" ref="S472:S511" si="93">R472-(C472-F472)</f>
        <v>28.957600000000014</v>
      </c>
      <c r="T472" s="5">
        <f t="shared" ref="T472:T511" si="94">(M472-(M472*N472)-O472-(C472*E472)+P472)</f>
        <v>-3.0324</v>
      </c>
      <c r="U472" s="5">
        <f t="shared" ref="U472:U511" si="95">T472-(C472-F472)</f>
        <v>-78.842399999999998</v>
      </c>
    </row>
    <row r="473" spans="1:21" x14ac:dyDescent="0.25">
      <c r="A473" s="11" t="s">
        <v>25</v>
      </c>
      <c r="B473" s="6" t="s">
        <v>533</v>
      </c>
      <c r="C473" s="9">
        <v>140.86000000000001</v>
      </c>
      <c r="D473" s="6">
        <v>4</v>
      </c>
      <c r="E473" s="8">
        <v>0.04</v>
      </c>
      <c r="F473" s="49">
        <v>0</v>
      </c>
      <c r="G473" s="9">
        <v>0</v>
      </c>
      <c r="H473" s="9">
        <v>249</v>
      </c>
      <c r="I473" s="48">
        <v>0.11</v>
      </c>
      <c r="J473" s="78" cm="1">
        <f t="array" ref="J473">IF(H473&lt;12.5, H473/2,
IF(H473&lt;29, 6.25,
IF(H473&lt;50, 6.5,
IF(H473&lt;79, 6.75,
VALUE(SUBSTITUTE(
INDEX(RESUMO!$J$2:$J$100, MATCH(1,
(D473&gt;=RESUMO!$H$2:$H$100)*(D473&lt;=RESUMO!$I$2:$I$100)*(H473&gt;=RESUMO!$K$2:$K$100)*(H473&lt;=RESUMO!$L$2:$L$100),
0)), "R$ ", ""))
))))</f>
        <v>26.95</v>
      </c>
      <c r="K473" s="9">
        <v>0</v>
      </c>
      <c r="L473" s="10">
        <f t="shared" si="90"/>
        <v>0.19343614457831329</v>
      </c>
      <c r="M473" s="7"/>
      <c r="N473" s="48"/>
      <c r="O473" s="78" cm="1">
        <f t="array" ref="O473">IF(M473&lt;12.5, 0,
IF(M473&lt;29, 6.25,
IF(M473&lt;50, 6.5,
IF(M473&lt;79, 6.75,
VALUE(SUBSTITUTE(
INDEX(RESUMO!$J$2:$J$100, MATCH(1,
(D473&gt;=RESUMO!$H$2:$H$100)*(D473&lt;=RESUMO!$I$2:$I$100)*(M473&gt;=RESUMO!$K$2:$K$100)*(M473&lt;=RESUMO!$L$2:$L$100),
0)), "R$ ", ""))
))))</f>
        <v>0</v>
      </c>
      <c r="P473" s="9"/>
      <c r="Q473" s="10" t="e">
        <f t="shared" si="91"/>
        <v>#DIV/0!</v>
      </c>
      <c r="R473" s="5">
        <f t="shared" si="92"/>
        <v>189.02560000000003</v>
      </c>
      <c r="S473" s="5">
        <f t="shared" si="93"/>
        <v>48.165600000000012</v>
      </c>
      <c r="T473" s="5">
        <f t="shared" si="94"/>
        <v>-5.6344000000000003</v>
      </c>
      <c r="U473" s="5">
        <f t="shared" si="95"/>
        <v>-146.49440000000001</v>
      </c>
    </row>
    <row r="474" spans="1:21" x14ac:dyDescent="0.25">
      <c r="A474" s="11" t="s">
        <v>33</v>
      </c>
      <c r="B474" s="6" t="s">
        <v>534</v>
      </c>
      <c r="C474" s="9">
        <v>326.62</v>
      </c>
      <c r="D474" s="6">
        <v>9</v>
      </c>
      <c r="E474" s="8">
        <v>0.04</v>
      </c>
      <c r="F474" s="49">
        <v>0</v>
      </c>
      <c r="G474" s="9">
        <v>0</v>
      </c>
      <c r="H474" s="9">
        <v>525</v>
      </c>
      <c r="I474" s="48">
        <v>0.11</v>
      </c>
      <c r="J474" s="78" cm="1">
        <f t="array" ref="J474">IF(H474&lt;12.5, H474/2,
IF(H474&lt;29, 6.25,
IF(H474&lt;50, 6.5,
IF(H474&lt;79, 6.75,
VALUE(SUBSTITUTE(
INDEX(RESUMO!$J$2:$J$100, MATCH(1,
(D474&gt;=RESUMO!$H$2:$H$100)*(D474&lt;=RESUMO!$I$2:$I$100)*(H474&gt;=RESUMO!$K$2:$K$100)*(H474&lt;=RESUMO!$L$2:$L$100),
0)), "R$ ", ""))
))))</f>
        <v>44.45</v>
      </c>
      <c r="K474" s="9">
        <v>0</v>
      </c>
      <c r="L474" s="10">
        <f t="shared" si="90"/>
        <v>0.15831466666666669</v>
      </c>
      <c r="M474" s="7"/>
      <c r="N474" s="48"/>
      <c r="O474" s="78" cm="1">
        <f t="array" ref="O474">IF(M474&lt;12.5, 0,
IF(M474&lt;29, 6.25,
IF(M474&lt;50, 6.5,
IF(M474&lt;79, 6.75,
VALUE(SUBSTITUTE(
INDEX(RESUMO!$J$2:$J$100, MATCH(1,
(D474&gt;=RESUMO!$H$2:$H$100)*(D474&lt;=RESUMO!$I$2:$I$100)*(M474&gt;=RESUMO!$K$2:$K$100)*(M474&lt;=RESUMO!$L$2:$L$100),
0)), "R$ ", ""))
))))</f>
        <v>0</v>
      </c>
      <c r="P474" s="9"/>
      <c r="Q474" s="10" t="e">
        <f t="shared" si="91"/>
        <v>#DIV/0!</v>
      </c>
      <c r="R474" s="5">
        <f t="shared" si="92"/>
        <v>409.73520000000002</v>
      </c>
      <c r="S474" s="5">
        <f t="shared" si="93"/>
        <v>83.115200000000016</v>
      </c>
      <c r="T474" s="5">
        <f t="shared" si="94"/>
        <v>-13.0648</v>
      </c>
      <c r="U474" s="5">
        <f t="shared" si="95"/>
        <v>-339.6848</v>
      </c>
    </row>
    <row r="475" spans="1:21" x14ac:dyDescent="0.25">
      <c r="A475" s="11" t="s">
        <v>33</v>
      </c>
      <c r="B475" s="6" t="s">
        <v>535</v>
      </c>
      <c r="C475" s="9">
        <v>328.71</v>
      </c>
      <c r="D475" s="6">
        <v>9</v>
      </c>
      <c r="E475" s="8">
        <v>0.04</v>
      </c>
      <c r="F475" s="49">
        <v>0</v>
      </c>
      <c r="G475" s="9">
        <v>0</v>
      </c>
      <c r="H475" s="9">
        <v>569</v>
      </c>
      <c r="I475" s="48">
        <v>0.12</v>
      </c>
      <c r="J475" s="78" cm="1">
        <f t="array" ref="J475">IF(H475&lt;12.5, H475/2,
IF(H475&lt;29, 6.25,
IF(H475&lt;50, 6.5,
IF(H475&lt;79, 6.75,
VALUE(SUBSTITUTE(
INDEX(RESUMO!$J$2:$J$100, MATCH(1,
(D475&gt;=RESUMO!$H$2:$H$100)*(D475&lt;=RESUMO!$I$2:$I$100)*(H475&gt;=RESUMO!$K$2:$K$100)*(H475&lt;=RESUMO!$L$2:$L$100),
0)), "R$ ", ""))
))))</f>
        <v>44.45</v>
      </c>
      <c r="K475" s="9">
        <v>0</v>
      </c>
      <c r="L475" s="10">
        <f t="shared" si="90"/>
        <v>0.20107486818980683</v>
      </c>
      <c r="M475" s="7"/>
      <c r="N475" s="48"/>
      <c r="O475" s="78" cm="1">
        <f t="array" ref="O475">IF(M475&lt;12.5, 0,
IF(M475&lt;29, 6.25,
IF(M475&lt;50, 6.5,
IF(M475&lt;79, 6.75,
VALUE(SUBSTITUTE(
INDEX(RESUMO!$J$2:$J$100, MATCH(1,
(D475&gt;=RESUMO!$H$2:$H$100)*(D475&lt;=RESUMO!$I$2:$I$100)*(M475&gt;=RESUMO!$K$2:$K$100)*(M475&lt;=RESUMO!$L$2:$L$100),
0)), "R$ ", ""))
))))</f>
        <v>0</v>
      </c>
      <c r="P475" s="9"/>
      <c r="Q475" s="10" t="e">
        <f t="shared" si="91"/>
        <v>#DIV/0!</v>
      </c>
      <c r="R475" s="5">
        <f t="shared" si="92"/>
        <v>443.12160000000006</v>
      </c>
      <c r="S475" s="5">
        <f t="shared" si="93"/>
        <v>114.41160000000008</v>
      </c>
      <c r="T475" s="5">
        <f t="shared" si="94"/>
        <v>-13.148399999999999</v>
      </c>
      <c r="U475" s="5">
        <f t="shared" si="95"/>
        <v>-341.85839999999996</v>
      </c>
    </row>
    <row r="476" spans="1:21" x14ac:dyDescent="0.25">
      <c r="A476" s="11" t="s">
        <v>33</v>
      </c>
      <c r="B476" s="6" t="s">
        <v>536</v>
      </c>
      <c r="C476" s="9">
        <v>436.18</v>
      </c>
      <c r="D476" s="6">
        <v>9</v>
      </c>
      <c r="E476" s="8">
        <v>0.04</v>
      </c>
      <c r="F476" s="49">
        <v>0</v>
      </c>
      <c r="G476" s="9">
        <v>0</v>
      </c>
      <c r="H476" s="9">
        <v>725</v>
      </c>
      <c r="I476" s="48">
        <v>0.11</v>
      </c>
      <c r="J476" s="78" cm="1">
        <f t="array" ref="J476">IF(H476&lt;12.5, H476/2,
IF(H476&lt;29, 6.25,
IF(H476&lt;50, 6.5,
IF(H476&lt;79, 6.75,
VALUE(SUBSTITUTE(
INDEX(RESUMO!$J$2:$J$100, MATCH(1,
(D476&gt;=RESUMO!$H$2:$H$100)*(D476&lt;=RESUMO!$I$2:$I$100)*(H476&gt;=RESUMO!$K$2:$K$100)*(H476&lt;=RESUMO!$L$2:$L$100),
0)), "R$ ", ""))
))))</f>
        <v>44.45</v>
      </c>
      <c r="K476" s="9">
        <v>0</v>
      </c>
      <c r="L476" s="10">
        <f t="shared" si="90"/>
        <v>0.20299696551724136</v>
      </c>
      <c r="M476" s="7"/>
      <c r="N476" s="48"/>
      <c r="O476" s="78" cm="1">
        <f t="array" ref="O476">IF(M476&lt;12.5, 0,
IF(M476&lt;29, 6.25,
IF(M476&lt;50, 6.5,
IF(M476&lt;79, 6.75,
VALUE(SUBSTITUTE(
INDEX(RESUMO!$J$2:$J$100, MATCH(1,
(D476&gt;=RESUMO!$H$2:$H$100)*(D476&lt;=RESUMO!$I$2:$I$100)*(M476&gt;=RESUMO!$K$2:$K$100)*(M476&lt;=RESUMO!$L$2:$L$100),
0)), "R$ ", ""))
))))</f>
        <v>0</v>
      </c>
      <c r="P476" s="9"/>
      <c r="Q476" s="10" t="e">
        <f t="shared" si="91"/>
        <v>#DIV/0!</v>
      </c>
      <c r="R476" s="5">
        <f t="shared" si="92"/>
        <v>583.3528</v>
      </c>
      <c r="S476" s="5">
        <f t="shared" si="93"/>
        <v>147.1728</v>
      </c>
      <c r="T476" s="5">
        <f t="shared" si="94"/>
        <v>-17.447200000000002</v>
      </c>
      <c r="U476" s="5">
        <f t="shared" si="95"/>
        <v>-453.62720000000002</v>
      </c>
    </row>
    <row r="477" spans="1:21" x14ac:dyDescent="0.25">
      <c r="A477" s="11" t="s">
        <v>33</v>
      </c>
      <c r="B477" s="6" t="s">
        <v>537</v>
      </c>
      <c r="C477" s="9">
        <v>94.96</v>
      </c>
      <c r="D477" s="6">
        <v>0.5</v>
      </c>
      <c r="E477" s="8">
        <v>0.04</v>
      </c>
      <c r="F477" s="49">
        <v>0</v>
      </c>
      <c r="G477" s="9">
        <v>0</v>
      </c>
      <c r="H477" s="9">
        <v>175</v>
      </c>
      <c r="I477" s="48">
        <v>0.12</v>
      </c>
      <c r="J477" s="78" cm="1">
        <f t="array" ref="J477">IF(H477&lt;12.5, H477/2,
IF(H477&lt;29, 6.25,
IF(H477&lt;50, 6.5,
IF(H477&lt;79, 6.75,
VALUE(SUBSTITUTE(
INDEX(RESUMO!$J$2:$J$100, MATCH(1,
(D477&gt;=RESUMO!$H$2:$H$100)*(D477&lt;=RESUMO!$I$2:$I$100)*(H477&gt;=RESUMO!$K$2:$K$100)*(H477&lt;=RESUMO!$L$2:$L$100),
0)), "R$ ", ""))
))))</f>
        <v>19.3</v>
      </c>
      <c r="K477" s="9">
        <v>0</v>
      </c>
      <c r="L477" s="10">
        <f t="shared" si="90"/>
        <v>0.20538057142857147</v>
      </c>
      <c r="M477" s="7"/>
      <c r="N477" s="48"/>
      <c r="O477" s="78" cm="1">
        <f t="array" ref="O477">IF(M477&lt;12.5, 0,
IF(M477&lt;29, 6.25,
IF(M477&lt;50, 6.5,
IF(M477&lt;79, 6.75,
VALUE(SUBSTITUTE(
INDEX(RESUMO!$J$2:$J$100, MATCH(1,
(D477&gt;=RESUMO!$H$2:$H$100)*(D477&lt;=RESUMO!$I$2:$I$100)*(M477&gt;=RESUMO!$K$2:$K$100)*(M477&lt;=RESUMO!$L$2:$L$100),
0)), "R$ ", ""))
))))</f>
        <v>0</v>
      </c>
      <c r="P477" s="9"/>
      <c r="Q477" s="10" t="e">
        <f t="shared" si="91"/>
        <v>#DIV/0!</v>
      </c>
      <c r="R477" s="5">
        <f t="shared" si="92"/>
        <v>130.9016</v>
      </c>
      <c r="S477" s="5">
        <f t="shared" si="93"/>
        <v>35.941600000000008</v>
      </c>
      <c r="T477" s="5">
        <f t="shared" si="94"/>
        <v>-3.7984</v>
      </c>
      <c r="U477" s="5">
        <f t="shared" si="95"/>
        <v>-98.758399999999995</v>
      </c>
    </row>
    <row r="478" spans="1:21" x14ac:dyDescent="0.25">
      <c r="A478" s="11" t="s">
        <v>33</v>
      </c>
      <c r="B478" s="6" t="s">
        <v>538</v>
      </c>
      <c r="C478" s="9">
        <v>83.33</v>
      </c>
      <c r="D478" s="6"/>
      <c r="E478" s="8">
        <v>0.04</v>
      </c>
      <c r="F478" s="49">
        <v>0</v>
      </c>
      <c r="G478" s="9">
        <v>0</v>
      </c>
      <c r="H478" s="9"/>
      <c r="I478" s="48"/>
      <c r="J478" s="78" cm="1">
        <f t="array" ref="J478">IF(H478&lt;12.5, H478/2,
IF(H478&lt;29, 6.25,
IF(H478&lt;50, 6.5,
IF(H478&lt;79, 6.75,
VALUE(SUBSTITUTE(
INDEX(RESUMO!$J$2:$J$100, MATCH(1,
(D478&gt;=RESUMO!$H$2:$H$100)*(D478&lt;=RESUMO!$I$2:$I$100)*(H478&gt;=RESUMO!$K$2:$K$100)*(H478&lt;=RESUMO!$L$2:$L$100),
0)), "R$ ", ""))
))))</f>
        <v>0</v>
      </c>
      <c r="K478" s="9"/>
      <c r="L478" s="10" t="e">
        <f t="shared" si="90"/>
        <v>#DIV/0!</v>
      </c>
      <c r="M478" s="7"/>
      <c r="N478" s="48"/>
      <c r="O478" s="78" cm="1">
        <f t="array" ref="O478">IF(M478&lt;12.5, 0,
IF(M478&lt;29, 6.25,
IF(M478&lt;50, 6.5,
IF(M478&lt;79, 6.75,
VALUE(SUBSTITUTE(
INDEX(RESUMO!$J$2:$J$100, MATCH(1,
(D478&gt;=RESUMO!$H$2:$H$100)*(D478&lt;=RESUMO!$I$2:$I$100)*(M478&gt;=RESUMO!$K$2:$K$100)*(M478&lt;=RESUMO!$L$2:$L$100),
0)), "R$ ", ""))
))))</f>
        <v>0</v>
      </c>
      <c r="P478" s="9"/>
      <c r="Q478" s="10" t="e">
        <f t="shared" si="91"/>
        <v>#DIV/0!</v>
      </c>
      <c r="R478" s="5">
        <f t="shared" si="92"/>
        <v>-3.3332000000000002</v>
      </c>
      <c r="S478" s="5">
        <f t="shared" si="93"/>
        <v>-86.663200000000003</v>
      </c>
      <c r="T478" s="5">
        <f t="shared" si="94"/>
        <v>-3.3332000000000002</v>
      </c>
      <c r="U478" s="5">
        <f t="shared" si="95"/>
        <v>-86.663200000000003</v>
      </c>
    </row>
    <row r="479" spans="1:21" x14ac:dyDescent="0.25">
      <c r="A479" s="11" t="s">
        <v>25</v>
      </c>
      <c r="B479" s="6" t="s">
        <v>539</v>
      </c>
      <c r="C479" s="9">
        <v>100.39</v>
      </c>
      <c r="D479" s="6">
        <v>1</v>
      </c>
      <c r="E479" s="8">
        <v>0.04</v>
      </c>
      <c r="F479" s="49">
        <v>0</v>
      </c>
      <c r="G479" s="9">
        <v>0</v>
      </c>
      <c r="H479" s="9">
        <v>185</v>
      </c>
      <c r="I479" s="48">
        <v>0.12</v>
      </c>
      <c r="J479" s="78" cm="1">
        <f t="array" ref="J479">IF(H479&lt;12.5, H479/2,
IF(H479&lt;29, 6.25,
IF(H479&lt;50, 6.5,
IF(H479&lt;79, 6.75,
VALUE(SUBSTITUTE(
INDEX(RESUMO!$J$2:$J$100, MATCH(1,
(D479&gt;=RESUMO!$H$2:$H$100)*(D479&lt;=RESUMO!$I$2:$I$100)*(H479&gt;=RESUMO!$K$2:$K$100)*(H479&lt;=RESUMO!$L$2:$L$100),
0)), "R$ ", ""))
))))</f>
        <v>20.2</v>
      </c>
      <c r="K479" s="9">
        <v>0</v>
      </c>
      <c r="L479" s="10">
        <f t="shared" si="90"/>
        <v>0.20645621621621629</v>
      </c>
      <c r="M479" s="7"/>
      <c r="N479" s="48"/>
      <c r="O479" s="78" cm="1">
        <f t="array" ref="O479">IF(M479&lt;12.5, 0,
IF(M479&lt;29, 6.25,
IF(M479&lt;50, 6.5,
IF(M479&lt;79, 6.75,
VALUE(SUBSTITUTE(
INDEX(RESUMO!$J$2:$J$100, MATCH(1,
(D479&gt;=RESUMO!$H$2:$H$100)*(D479&lt;=RESUMO!$I$2:$I$100)*(M479&gt;=RESUMO!$K$2:$K$100)*(M479&lt;=RESUMO!$L$2:$L$100),
0)), "R$ ", ""))
))))</f>
        <v>0</v>
      </c>
      <c r="P479" s="9"/>
      <c r="Q479" s="10" t="e">
        <f t="shared" si="91"/>
        <v>#DIV/0!</v>
      </c>
      <c r="R479" s="5">
        <f t="shared" si="92"/>
        <v>138.58440000000002</v>
      </c>
      <c r="S479" s="5">
        <f t="shared" si="93"/>
        <v>38.194400000000016</v>
      </c>
      <c r="T479" s="5">
        <f t="shared" si="94"/>
        <v>-4.0156000000000001</v>
      </c>
      <c r="U479" s="5">
        <f t="shared" si="95"/>
        <v>-104.40560000000001</v>
      </c>
    </row>
    <row r="480" spans="1:21" x14ac:dyDescent="0.25">
      <c r="A480" s="11" t="s">
        <v>25</v>
      </c>
      <c r="B480" s="6" t="s">
        <v>540</v>
      </c>
      <c r="C480" s="9">
        <v>279.64999999999998</v>
      </c>
      <c r="D480" s="6"/>
      <c r="E480" s="8">
        <v>0.04</v>
      </c>
      <c r="F480" s="49">
        <v>0</v>
      </c>
      <c r="G480" s="9">
        <v>0</v>
      </c>
      <c r="H480" s="9"/>
      <c r="I480" s="48"/>
      <c r="J480" s="78" cm="1">
        <f t="array" ref="J480">IF(H480&lt;12.5, H480/2,
IF(H480&lt;29, 6.25,
IF(H480&lt;50, 6.5,
IF(H480&lt;79, 6.75,
VALUE(SUBSTITUTE(
INDEX(RESUMO!$J$2:$J$100, MATCH(1,
(D480&gt;=RESUMO!$H$2:$H$100)*(D480&lt;=RESUMO!$I$2:$I$100)*(H480&gt;=RESUMO!$K$2:$K$100)*(H480&lt;=RESUMO!$L$2:$L$100),
0)), "R$ ", ""))
))))</f>
        <v>0</v>
      </c>
      <c r="K480" s="9"/>
      <c r="L480" s="10" t="e">
        <f t="shared" si="90"/>
        <v>#DIV/0!</v>
      </c>
      <c r="M480" s="7"/>
      <c r="N480" s="48"/>
      <c r="O480" s="78" cm="1">
        <f t="array" ref="O480">IF(M480&lt;12.5, 0,
IF(M480&lt;29, 6.25,
IF(M480&lt;50, 6.5,
IF(M480&lt;79, 6.75,
VALUE(SUBSTITUTE(
INDEX(RESUMO!$J$2:$J$100, MATCH(1,
(D480&gt;=RESUMO!$H$2:$H$100)*(D480&lt;=RESUMO!$I$2:$I$100)*(M480&gt;=RESUMO!$K$2:$K$100)*(M480&lt;=RESUMO!$L$2:$L$100),
0)), "R$ ", ""))
))))</f>
        <v>0</v>
      </c>
      <c r="P480" s="9"/>
      <c r="Q480" s="10" t="e">
        <f t="shared" si="91"/>
        <v>#DIV/0!</v>
      </c>
      <c r="R480" s="5">
        <f t="shared" si="92"/>
        <v>-11.186</v>
      </c>
      <c r="S480" s="5">
        <f t="shared" si="93"/>
        <v>-290.83599999999996</v>
      </c>
      <c r="T480" s="5">
        <f t="shared" si="94"/>
        <v>-11.186</v>
      </c>
      <c r="U480" s="5">
        <f t="shared" si="95"/>
        <v>-290.83599999999996</v>
      </c>
    </row>
    <row r="481" spans="1:21" x14ac:dyDescent="0.25">
      <c r="A481" s="11" t="s">
        <v>33</v>
      </c>
      <c r="B481" s="6" t="s">
        <v>541</v>
      </c>
      <c r="C481" s="9">
        <v>531.80999999999995</v>
      </c>
      <c r="D481" s="6"/>
      <c r="E481" s="8">
        <v>0.04</v>
      </c>
      <c r="F481" s="49">
        <v>0</v>
      </c>
      <c r="G481" s="9">
        <v>0</v>
      </c>
      <c r="H481" s="9"/>
      <c r="I481" s="48"/>
      <c r="J481" s="78" cm="1">
        <f t="array" ref="J481">IF(H481&lt;12.5, H481/2,
IF(H481&lt;29, 6.25,
IF(H481&lt;50, 6.5,
IF(H481&lt;79, 6.75,
VALUE(SUBSTITUTE(
INDEX(RESUMO!$J$2:$J$100, MATCH(1,
(D481&gt;=RESUMO!$H$2:$H$100)*(D481&lt;=RESUMO!$I$2:$I$100)*(H481&gt;=RESUMO!$K$2:$K$100)*(H481&lt;=RESUMO!$L$2:$L$100),
0)), "R$ ", ""))
))))</f>
        <v>0</v>
      </c>
      <c r="K481" s="9">
        <v>0</v>
      </c>
      <c r="L481" s="10" t="e">
        <f t="shared" si="90"/>
        <v>#DIV/0!</v>
      </c>
      <c r="M481" s="7"/>
      <c r="N481" s="48"/>
      <c r="O481" s="78" cm="1">
        <f t="array" ref="O481">IF(M481&lt;12.5, 0,
IF(M481&lt;29, 6.25,
IF(M481&lt;50, 6.5,
IF(M481&lt;79, 6.75,
VALUE(SUBSTITUTE(
INDEX(RESUMO!$J$2:$J$100, MATCH(1,
(D481&gt;=RESUMO!$H$2:$H$100)*(D481&lt;=RESUMO!$I$2:$I$100)*(M481&gt;=RESUMO!$K$2:$K$100)*(M481&lt;=RESUMO!$L$2:$L$100),
0)), "R$ ", ""))
))))</f>
        <v>0</v>
      </c>
      <c r="P481" s="9"/>
      <c r="Q481" s="10" t="e">
        <f t="shared" si="91"/>
        <v>#DIV/0!</v>
      </c>
      <c r="R481" s="5">
        <f t="shared" si="92"/>
        <v>-21.272399999999998</v>
      </c>
      <c r="S481" s="5">
        <f t="shared" si="93"/>
        <v>-553.08239999999989</v>
      </c>
      <c r="T481" s="5">
        <f t="shared" si="94"/>
        <v>-21.272399999999998</v>
      </c>
      <c r="U481" s="5">
        <f t="shared" si="95"/>
        <v>-553.08239999999989</v>
      </c>
    </row>
    <row r="482" spans="1:21" x14ac:dyDescent="0.25">
      <c r="A482" s="11" t="s">
        <v>33</v>
      </c>
      <c r="B482" s="6" t="s">
        <v>542</v>
      </c>
      <c r="C482" s="9">
        <v>195.54</v>
      </c>
      <c r="D482" s="6">
        <v>4</v>
      </c>
      <c r="E482" s="8">
        <v>0.04</v>
      </c>
      <c r="F482" s="49">
        <v>0</v>
      </c>
      <c r="G482" s="9">
        <v>0</v>
      </c>
      <c r="H482" s="9">
        <v>365</v>
      </c>
      <c r="I482" s="48">
        <v>0.11</v>
      </c>
      <c r="J482" s="78" cm="1">
        <f t="array" ref="J482">IF(H482&lt;12.5, H482/2,
IF(H482&lt;29, 6.25,
IF(H482&lt;50, 6.5,
IF(H482&lt;79, 6.75,
VALUE(SUBSTITUTE(
INDEX(RESUMO!$J$2:$J$100, MATCH(1,
(D482&gt;=RESUMO!$H$2:$H$100)*(D482&lt;=RESUMO!$I$2:$I$100)*(H482&gt;=RESUMO!$K$2:$K$100)*(H482&lt;=RESUMO!$L$2:$L$100),
0)), "R$ ", ""))
))))</f>
        <v>26.95</v>
      </c>
      <c r="K482" s="9">
        <v>0</v>
      </c>
      <c r="L482" s="10">
        <f t="shared" si="90"/>
        <v>0.25900931506849328</v>
      </c>
      <c r="M482" s="7"/>
      <c r="N482" s="48"/>
      <c r="O482" s="78" cm="1">
        <f t="array" ref="O482">IF(M482&lt;12.5, 0,
IF(M482&lt;29, 6.25,
IF(M482&lt;50, 6.5,
IF(M482&lt;79, 6.75,
VALUE(SUBSTITUTE(
INDEX(RESUMO!$J$2:$J$100, MATCH(1,
(D482&gt;=RESUMO!$H$2:$H$100)*(D482&lt;=RESUMO!$I$2:$I$100)*(M482&gt;=RESUMO!$K$2:$K$100)*(M482&lt;=RESUMO!$L$2:$L$100),
0)), "R$ ", ""))
))))</f>
        <v>0</v>
      </c>
      <c r="P482" s="9"/>
      <c r="Q482" s="10" t="e">
        <f t="shared" si="91"/>
        <v>#DIV/0!</v>
      </c>
      <c r="R482" s="5">
        <f t="shared" si="92"/>
        <v>290.07840000000004</v>
      </c>
      <c r="S482" s="5">
        <f t="shared" si="93"/>
        <v>94.538400000000053</v>
      </c>
      <c r="T482" s="5">
        <f t="shared" si="94"/>
        <v>-7.8216000000000001</v>
      </c>
      <c r="U482" s="5">
        <f t="shared" si="95"/>
        <v>-203.36159999999998</v>
      </c>
    </row>
    <row r="483" spans="1:21" x14ac:dyDescent="0.25">
      <c r="A483" s="11" t="s">
        <v>33</v>
      </c>
      <c r="B483" s="6" t="s">
        <v>543</v>
      </c>
      <c r="C483" s="9">
        <v>185.78</v>
      </c>
      <c r="D483" s="6">
        <v>3</v>
      </c>
      <c r="E483" s="8">
        <v>0.04</v>
      </c>
      <c r="F483" s="49">
        <v>0</v>
      </c>
      <c r="G483" s="9">
        <v>0</v>
      </c>
      <c r="H483" s="9">
        <v>325</v>
      </c>
      <c r="I483" s="48">
        <v>0.11</v>
      </c>
      <c r="J483" s="78" cm="1">
        <f t="array" ref="J483">IF(H483&lt;12.5, H483/2,
IF(H483&lt;29, 6.25,
IF(H483&lt;50, 6.5,
IF(H483&lt;79, 6.75,
VALUE(SUBSTITUTE(
INDEX(RESUMO!$J$2:$J$100, MATCH(1,
(D483&gt;=RESUMO!$H$2:$H$100)*(D483&lt;=RESUMO!$I$2:$I$100)*(H483&gt;=RESUMO!$K$2:$K$100)*(H483&lt;=RESUMO!$L$2:$L$100),
0)), "R$ ", ""))
))))</f>
        <v>24.95</v>
      </c>
      <c r="K483" s="9">
        <v>0</v>
      </c>
      <c r="L483" s="10">
        <f t="shared" si="90"/>
        <v>0.21873476923076929</v>
      </c>
      <c r="M483" s="7"/>
      <c r="N483" s="48"/>
      <c r="O483" s="78" cm="1">
        <f t="array" ref="O483">IF(M483&lt;12.5, 0,
IF(M483&lt;29, 6.25,
IF(M483&lt;50, 6.5,
IF(M483&lt;79, 6.75,
VALUE(SUBSTITUTE(
INDEX(RESUMO!$J$2:$J$100, MATCH(1,
(D483&gt;=RESUMO!$H$2:$H$100)*(D483&lt;=RESUMO!$I$2:$I$100)*(M483&gt;=RESUMO!$K$2:$K$100)*(M483&lt;=RESUMO!$L$2:$L$100),
0)), "R$ ", ""))
))))</f>
        <v>0</v>
      </c>
      <c r="P483" s="9"/>
      <c r="Q483" s="10" t="e">
        <f t="shared" si="91"/>
        <v>#DIV/0!</v>
      </c>
      <c r="R483" s="5">
        <f t="shared" si="92"/>
        <v>256.86880000000002</v>
      </c>
      <c r="S483" s="5">
        <f t="shared" si="93"/>
        <v>71.08880000000002</v>
      </c>
      <c r="T483" s="5">
        <f t="shared" si="94"/>
        <v>-7.4312000000000005</v>
      </c>
      <c r="U483" s="5">
        <f t="shared" si="95"/>
        <v>-193.21119999999999</v>
      </c>
    </row>
    <row r="484" spans="1:21" x14ac:dyDescent="0.25">
      <c r="A484" s="11" t="s">
        <v>33</v>
      </c>
      <c r="B484" s="6" t="s">
        <v>544</v>
      </c>
      <c r="C484" s="9">
        <v>328.71</v>
      </c>
      <c r="D484" s="6">
        <v>9</v>
      </c>
      <c r="E484" s="8">
        <v>0.04</v>
      </c>
      <c r="F484" s="49">
        <v>0</v>
      </c>
      <c r="G484" s="9">
        <v>0</v>
      </c>
      <c r="H484" s="9">
        <v>569</v>
      </c>
      <c r="I484" s="48">
        <v>0.12</v>
      </c>
      <c r="J484" s="78" cm="1">
        <f t="array" ref="J484">IF(H484&lt;12.5, H484/2,
IF(H484&lt;29, 6.25,
IF(H484&lt;50, 6.5,
IF(H484&lt;79, 6.75,
VALUE(SUBSTITUTE(
INDEX(RESUMO!$J$2:$J$100, MATCH(1,
(D484&gt;=RESUMO!$H$2:$H$100)*(D484&lt;=RESUMO!$I$2:$I$100)*(H484&gt;=RESUMO!$K$2:$K$100)*(H484&lt;=RESUMO!$L$2:$L$100),
0)), "R$ ", ""))
))))</f>
        <v>44.45</v>
      </c>
      <c r="K484" s="9">
        <v>0</v>
      </c>
      <c r="L484" s="10">
        <f t="shared" si="90"/>
        <v>0.20107486818980683</v>
      </c>
      <c r="M484" s="7"/>
      <c r="N484" s="48"/>
      <c r="O484" s="78" cm="1">
        <f t="array" ref="O484">IF(M484&lt;12.5, 0,
IF(M484&lt;29, 6.25,
IF(M484&lt;50, 6.5,
IF(M484&lt;79, 6.75,
VALUE(SUBSTITUTE(
INDEX(RESUMO!$J$2:$J$100, MATCH(1,
(D484&gt;=RESUMO!$H$2:$H$100)*(D484&lt;=RESUMO!$I$2:$I$100)*(M484&gt;=RESUMO!$K$2:$K$100)*(M484&lt;=RESUMO!$L$2:$L$100),
0)), "R$ ", ""))
))))</f>
        <v>0</v>
      </c>
      <c r="P484" s="9"/>
      <c r="Q484" s="10" t="e">
        <f t="shared" si="91"/>
        <v>#DIV/0!</v>
      </c>
      <c r="R484" s="5">
        <f t="shared" si="92"/>
        <v>443.12160000000006</v>
      </c>
      <c r="S484" s="5">
        <f t="shared" si="93"/>
        <v>114.41160000000008</v>
      </c>
      <c r="T484" s="5">
        <f t="shared" si="94"/>
        <v>-13.148399999999999</v>
      </c>
      <c r="U484" s="5">
        <f t="shared" si="95"/>
        <v>-341.85839999999996</v>
      </c>
    </row>
    <row r="485" spans="1:21" x14ac:dyDescent="0.25">
      <c r="A485" s="11" t="s">
        <v>33</v>
      </c>
      <c r="B485" s="6" t="s">
        <v>545</v>
      </c>
      <c r="C485" s="9">
        <v>209.55</v>
      </c>
      <c r="D485" s="6">
        <v>3</v>
      </c>
      <c r="E485" s="8">
        <v>0.04</v>
      </c>
      <c r="F485" s="49">
        <v>0</v>
      </c>
      <c r="G485" s="9">
        <v>0</v>
      </c>
      <c r="H485" s="9">
        <v>349</v>
      </c>
      <c r="I485" s="48">
        <v>0.12</v>
      </c>
      <c r="J485" s="78" cm="1">
        <f t="array" ref="J485">IF(H485&lt;12.5, H485/2,
IF(H485&lt;29, 6.25,
IF(H485&lt;50, 6.5,
IF(H485&lt;79, 6.75,
VALUE(SUBSTITUTE(
INDEX(RESUMO!$J$2:$J$100, MATCH(1,
(D485&gt;=RESUMO!$H$2:$H$100)*(D485&lt;=RESUMO!$I$2:$I$100)*(H485&gt;=RESUMO!$K$2:$K$100)*(H485&lt;=RESUMO!$L$2:$L$100),
0)), "R$ ", ""))
))))</f>
        <v>24.95</v>
      </c>
      <c r="K485" s="9">
        <v>0</v>
      </c>
      <c r="L485" s="10">
        <f t="shared" si="90"/>
        <v>0.18406303724928366</v>
      </c>
      <c r="M485" s="7"/>
      <c r="N485" s="48"/>
      <c r="O485" s="78" cm="1">
        <f t="array" ref="O485">IF(M485&lt;12.5, 0,
IF(M485&lt;29, 6.25,
IF(M485&lt;50, 6.5,
IF(M485&lt;79, 6.75,
VALUE(SUBSTITUTE(
INDEX(RESUMO!$J$2:$J$100, MATCH(1,
(D485&gt;=RESUMO!$H$2:$H$100)*(D485&lt;=RESUMO!$I$2:$I$100)*(M485&gt;=RESUMO!$K$2:$K$100)*(M485&lt;=RESUMO!$L$2:$L$100),
0)), "R$ ", ""))
))))</f>
        <v>0</v>
      </c>
      <c r="P485" s="9"/>
      <c r="Q485" s="10" t="e">
        <f t="shared" si="91"/>
        <v>#DIV/0!</v>
      </c>
      <c r="R485" s="5">
        <f t="shared" si="92"/>
        <v>273.78800000000001</v>
      </c>
      <c r="S485" s="5">
        <f t="shared" si="93"/>
        <v>64.238</v>
      </c>
      <c r="T485" s="5">
        <f t="shared" si="94"/>
        <v>-8.3820000000000014</v>
      </c>
      <c r="U485" s="5">
        <f t="shared" si="95"/>
        <v>-217.93200000000002</v>
      </c>
    </row>
    <row r="486" spans="1:21" x14ac:dyDescent="0.25">
      <c r="A486" s="11" t="s">
        <v>33</v>
      </c>
      <c r="B486" s="6" t="s">
        <v>546</v>
      </c>
      <c r="C486" s="9">
        <v>216.75</v>
      </c>
      <c r="D486" s="6">
        <v>3</v>
      </c>
      <c r="E486" s="8">
        <v>0.04</v>
      </c>
      <c r="F486" s="49">
        <v>0</v>
      </c>
      <c r="G486" s="9">
        <v>0</v>
      </c>
      <c r="H486" s="9">
        <v>369</v>
      </c>
      <c r="I486" s="48">
        <v>0.12</v>
      </c>
      <c r="J486" s="78" cm="1">
        <f t="array" ref="J486">IF(H486&lt;12.5, H486/2,
IF(H486&lt;29, 6.25,
IF(H486&lt;50, 6.5,
IF(H486&lt;79, 6.75,
VALUE(SUBSTITUTE(
INDEX(RESUMO!$J$2:$J$100, MATCH(1,
(D486&gt;=RESUMO!$H$2:$H$100)*(D486&lt;=RESUMO!$I$2:$I$100)*(H486&gt;=RESUMO!$K$2:$K$100)*(H486&lt;=RESUMO!$L$2:$L$100),
0)), "R$ ", ""))
))))</f>
        <v>24.95</v>
      </c>
      <c r="K486" s="9">
        <v>0</v>
      </c>
      <c r="L486" s="10">
        <f t="shared" si="90"/>
        <v>0.2014905149051491</v>
      </c>
      <c r="M486" s="7"/>
      <c r="N486" s="48"/>
      <c r="O486" s="78" cm="1">
        <f t="array" ref="O486">IF(M486&lt;12.5, 0,
IF(M486&lt;29, 6.25,
IF(M486&lt;50, 6.5,
IF(M486&lt;79, 6.75,
VALUE(SUBSTITUTE(
INDEX(RESUMO!$J$2:$J$100, MATCH(1,
(D486&gt;=RESUMO!$H$2:$H$100)*(D486&lt;=RESUMO!$I$2:$I$100)*(M486&gt;=RESUMO!$K$2:$K$100)*(M486&lt;=RESUMO!$L$2:$L$100),
0)), "R$ ", ""))
))))</f>
        <v>0</v>
      </c>
      <c r="P486" s="9"/>
      <c r="Q486" s="10" t="e">
        <f t="shared" si="91"/>
        <v>#DIV/0!</v>
      </c>
      <c r="R486" s="5">
        <f t="shared" si="92"/>
        <v>291.10000000000002</v>
      </c>
      <c r="S486" s="5">
        <f t="shared" si="93"/>
        <v>74.350000000000023</v>
      </c>
      <c r="T486" s="5">
        <f t="shared" si="94"/>
        <v>-8.67</v>
      </c>
      <c r="U486" s="5">
        <f t="shared" si="95"/>
        <v>-225.42</v>
      </c>
    </row>
    <row r="487" spans="1:21" x14ac:dyDescent="0.25">
      <c r="A487" s="11" t="s">
        <v>33</v>
      </c>
      <c r="B487" s="6" t="s">
        <v>547</v>
      </c>
      <c r="C487" s="9">
        <v>100.68</v>
      </c>
      <c r="D487" s="6">
        <v>2</v>
      </c>
      <c r="E487" s="8">
        <v>0.04</v>
      </c>
      <c r="F487" s="49">
        <v>0</v>
      </c>
      <c r="G487" s="9">
        <v>0</v>
      </c>
      <c r="H487" s="9">
        <v>185</v>
      </c>
      <c r="I487" s="48">
        <v>0.12</v>
      </c>
      <c r="J487" s="78" cm="1">
        <f t="array" ref="J487">IF(H487&lt;12.5, H487/2,
IF(H487&lt;29, 6.25,
IF(H487&lt;50, 6.5,
IF(H487&lt;79, 6.75,
VALUE(SUBSTITUTE(
INDEX(RESUMO!$J$2:$J$100, MATCH(1,
(D487&gt;=RESUMO!$H$2:$H$100)*(D487&lt;=RESUMO!$I$2:$I$100)*(H487&gt;=RESUMO!$K$2:$K$100)*(H487&lt;=RESUMO!$L$2:$L$100),
0)), "R$ ", ""))
))))</f>
        <v>21.1</v>
      </c>
      <c r="K487" s="9">
        <v>0</v>
      </c>
      <c r="L487" s="10">
        <f t="shared" si="90"/>
        <v>0.19996108108108118</v>
      </c>
      <c r="M487" s="7"/>
      <c r="N487" s="48"/>
      <c r="O487" s="78" cm="1">
        <f t="array" ref="O487">IF(M487&lt;12.5, 0,
IF(M487&lt;29, 6.25,
IF(M487&lt;50, 6.5,
IF(M487&lt;79, 6.75,
VALUE(SUBSTITUTE(
INDEX(RESUMO!$J$2:$J$100, MATCH(1,
(D487&gt;=RESUMO!$H$2:$H$100)*(D487&lt;=RESUMO!$I$2:$I$100)*(M487&gt;=RESUMO!$K$2:$K$100)*(M487&lt;=RESUMO!$L$2:$L$100),
0)), "R$ ", ""))
))))</f>
        <v>0</v>
      </c>
      <c r="P487" s="9"/>
      <c r="Q487" s="10" t="e">
        <f t="shared" si="91"/>
        <v>#DIV/0!</v>
      </c>
      <c r="R487" s="5">
        <f t="shared" si="92"/>
        <v>137.67280000000002</v>
      </c>
      <c r="S487" s="5">
        <f t="shared" si="93"/>
        <v>36.992800000000017</v>
      </c>
      <c r="T487" s="5">
        <f t="shared" si="94"/>
        <v>-4.0272000000000006</v>
      </c>
      <c r="U487" s="5">
        <f t="shared" si="95"/>
        <v>-104.7072</v>
      </c>
    </row>
    <row r="488" spans="1:21" x14ac:dyDescent="0.25">
      <c r="A488" s="11" t="s">
        <v>33</v>
      </c>
      <c r="B488" s="6" t="s">
        <v>785</v>
      </c>
      <c r="C488" s="9">
        <v>100.68</v>
      </c>
      <c r="D488" s="6">
        <v>2</v>
      </c>
      <c r="E488" s="8">
        <v>0.04</v>
      </c>
      <c r="F488" s="49">
        <v>0</v>
      </c>
      <c r="G488" s="9">
        <v>0</v>
      </c>
      <c r="H488" s="9">
        <v>185</v>
      </c>
      <c r="I488" s="48">
        <v>0.12</v>
      </c>
      <c r="J488" s="78" cm="1">
        <f t="array" ref="J488">IF(H488&lt;12.5, H488/2,
IF(H488&lt;29, 6.25,
IF(H488&lt;50, 6.5,
IF(H488&lt;79, 6.75,
VALUE(SUBSTITUTE(
INDEX(RESUMO!$J$2:$J$100, MATCH(1,
(D488&gt;=RESUMO!$H$2:$H$100)*(D488&lt;=RESUMO!$I$2:$I$100)*(H488&gt;=RESUMO!$K$2:$K$100)*(H488&lt;=RESUMO!$L$2:$L$100),
0)), "R$ ", ""))
))))</f>
        <v>21.1</v>
      </c>
      <c r="K488" s="9">
        <v>0</v>
      </c>
      <c r="L488" s="10">
        <f t="shared" si="90"/>
        <v>0.19996108108108118</v>
      </c>
      <c r="M488" s="7"/>
      <c r="N488" s="48"/>
      <c r="O488" s="78" cm="1">
        <f t="array" ref="O488">IF(M488&lt;12.5, 0,
IF(M488&lt;29, 6.25,
IF(M488&lt;50, 6.5,
IF(M488&lt;79, 6.75,
VALUE(SUBSTITUTE(
INDEX(RESUMO!$J$2:$J$100, MATCH(1,
(D488&gt;=RESUMO!$H$2:$H$100)*(D488&lt;=RESUMO!$I$2:$I$100)*(M488&gt;=RESUMO!$K$2:$K$100)*(M488&lt;=RESUMO!$L$2:$L$100),
0)), "R$ ", ""))
))))</f>
        <v>0</v>
      </c>
      <c r="P488" s="9"/>
      <c r="Q488" s="10" t="e">
        <f t="shared" si="91"/>
        <v>#DIV/0!</v>
      </c>
      <c r="R488" s="5">
        <f t="shared" si="92"/>
        <v>137.67280000000002</v>
      </c>
      <c r="S488" s="5">
        <f t="shared" si="93"/>
        <v>36.992800000000017</v>
      </c>
      <c r="T488" s="5">
        <f t="shared" si="94"/>
        <v>-4.0272000000000006</v>
      </c>
      <c r="U488" s="5">
        <f t="shared" si="95"/>
        <v>-104.7072</v>
      </c>
    </row>
    <row r="489" spans="1:21" x14ac:dyDescent="0.25">
      <c r="A489" s="11" t="s">
        <v>25</v>
      </c>
      <c r="B489" s="6" t="s">
        <v>548</v>
      </c>
      <c r="C489" s="9">
        <v>76.31</v>
      </c>
      <c r="D489" s="6">
        <v>1</v>
      </c>
      <c r="E489" s="8">
        <v>0.04</v>
      </c>
      <c r="F489" s="49">
        <v>0</v>
      </c>
      <c r="G489" s="9">
        <v>0</v>
      </c>
      <c r="H489" s="9">
        <v>135</v>
      </c>
      <c r="I489" s="48">
        <v>0.12</v>
      </c>
      <c r="J489" s="78" cm="1">
        <f t="array" ref="J489">IF(H489&lt;12.5, H489/2,
IF(H489&lt;29, 6.25,
IF(H489&lt;50, 6.5,
IF(H489&lt;79, 6.75,
VALUE(SUBSTITUTE(
INDEX(RESUMO!$J$2:$J$100, MATCH(1,
(D489&gt;=RESUMO!$H$2:$H$100)*(D489&lt;=RESUMO!$I$2:$I$100)*(H489&gt;=RESUMO!$K$2:$K$100)*(H489&lt;=RESUMO!$L$2:$L$100),
0)), "R$ ", ""))
))))</f>
        <v>17.95</v>
      </c>
      <c r="K489" s="9">
        <v>0</v>
      </c>
      <c r="L489" s="10">
        <f t="shared" si="90"/>
        <v>0.15916740740740731</v>
      </c>
      <c r="M489" s="7">
        <v>149</v>
      </c>
      <c r="N489" s="48">
        <v>0.17</v>
      </c>
      <c r="O489" s="78" cm="1">
        <f t="array" ref="O489">IF(M489&lt;12.5, 0,
IF(M489&lt;29, 6.25,
IF(M489&lt;50, 6.5,
IF(M489&lt;79, 6.75,
VALUE(SUBSTITUTE(
INDEX(RESUMO!$J$2:$J$100, MATCH(1,
(D489&gt;=RESUMO!$H$2:$H$100)*(D489&lt;=RESUMO!$I$2:$I$100)*(M489&gt;=RESUMO!$K$2:$K$100)*(M489&lt;=RESUMO!$L$2:$L$100),
0)), "R$ ", ""))
))))</f>
        <v>17.95</v>
      </c>
      <c r="P489" s="9">
        <v>0</v>
      </c>
      <c r="Q489" s="10">
        <f t="shared" si="91"/>
        <v>0.17689664429530194</v>
      </c>
      <c r="R489" s="5">
        <f t="shared" si="92"/>
        <v>97.797599999999989</v>
      </c>
      <c r="S489" s="5">
        <f t="shared" si="93"/>
        <v>21.487599999999986</v>
      </c>
      <c r="T489" s="5">
        <f t="shared" si="94"/>
        <v>102.66759999999999</v>
      </c>
      <c r="U489" s="5">
        <f t="shared" si="95"/>
        <v>26.357599999999991</v>
      </c>
    </row>
    <row r="490" spans="1:21" x14ac:dyDescent="0.25">
      <c r="A490" s="11" t="s">
        <v>33</v>
      </c>
      <c r="B490" s="6" t="s">
        <v>549</v>
      </c>
      <c r="C490" s="9">
        <v>166.34</v>
      </c>
      <c r="D490" s="6">
        <v>2</v>
      </c>
      <c r="E490" s="8">
        <v>0.04</v>
      </c>
      <c r="F490" s="49">
        <v>0</v>
      </c>
      <c r="G490" s="9">
        <v>0</v>
      </c>
      <c r="H490" s="9">
        <v>285</v>
      </c>
      <c r="I490" s="48">
        <v>0.11</v>
      </c>
      <c r="J490" s="78" cm="1">
        <f t="array" ref="J490">IF(H490&lt;12.5, H490/2,
IF(H490&lt;29, 6.25,
IF(H490&lt;50, 6.5,
IF(H490&lt;79, 6.75,
VALUE(SUBSTITUTE(
INDEX(RESUMO!$J$2:$J$100, MATCH(1,
(D490&gt;=RESUMO!$H$2:$H$100)*(D490&lt;=RESUMO!$I$2:$I$100)*(H490&gt;=RESUMO!$K$2:$K$100)*(H490&lt;=RESUMO!$L$2:$L$100),
0)), "R$ ", ""))
))))</f>
        <v>23.45</v>
      </c>
      <c r="K490" s="9">
        <v>0</v>
      </c>
      <c r="L490" s="10">
        <f t="shared" si="90"/>
        <v>0.20072421052631581</v>
      </c>
      <c r="M490" s="7"/>
      <c r="N490" s="48"/>
      <c r="O490" s="78" cm="1">
        <f t="array" ref="O490">IF(M490&lt;12.5, 0,
IF(M490&lt;29, 6.25,
IF(M490&lt;50, 6.5,
IF(M490&lt;79, 6.75,
VALUE(SUBSTITUTE(
INDEX(RESUMO!$J$2:$J$100, MATCH(1,
(D490&gt;=RESUMO!$H$2:$H$100)*(D490&lt;=RESUMO!$I$2:$I$100)*(M490&gt;=RESUMO!$K$2:$K$100)*(M490&lt;=RESUMO!$L$2:$L$100),
0)), "R$ ", ""))
))))</f>
        <v>0</v>
      </c>
      <c r="P490" s="9"/>
      <c r="Q490" s="10" t="e">
        <f t="shared" si="91"/>
        <v>#DIV/0!</v>
      </c>
      <c r="R490" s="5">
        <f t="shared" si="92"/>
        <v>223.54640000000001</v>
      </c>
      <c r="S490" s="5">
        <f t="shared" si="93"/>
        <v>57.206400000000002</v>
      </c>
      <c r="T490" s="5">
        <f t="shared" si="94"/>
        <v>-6.6536</v>
      </c>
      <c r="U490" s="5">
        <f t="shared" si="95"/>
        <v>-172.99360000000001</v>
      </c>
    </row>
    <row r="491" spans="1:21" x14ac:dyDescent="0.25">
      <c r="A491" s="11" t="s">
        <v>33</v>
      </c>
      <c r="B491" s="6" t="s">
        <v>550</v>
      </c>
      <c r="C491" s="9">
        <v>166.44</v>
      </c>
      <c r="D491" s="6">
        <v>2</v>
      </c>
      <c r="E491" s="8">
        <v>0.04</v>
      </c>
      <c r="F491" s="49">
        <v>0</v>
      </c>
      <c r="G491" s="9">
        <v>0</v>
      </c>
      <c r="H491" s="9">
        <v>285</v>
      </c>
      <c r="I491" s="48">
        <v>0.11</v>
      </c>
      <c r="J491" s="78" cm="1">
        <f t="array" ref="J491">IF(H491&lt;12.5, H491/2,
IF(H491&lt;29, 6.25,
IF(H491&lt;50, 6.5,
IF(H491&lt;79, 6.75,
VALUE(SUBSTITUTE(
INDEX(RESUMO!$J$2:$J$100, MATCH(1,
(D491&gt;=RESUMO!$H$2:$H$100)*(D491&lt;=RESUMO!$I$2:$I$100)*(H491&gt;=RESUMO!$K$2:$K$100)*(H491&lt;=RESUMO!$L$2:$L$100),
0)), "R$ ", ""))
))))</f>
        <v>23.45</v>
      </c>
      <c r="K491" s="9">
        <v>0</v>
      </c>
      <c r="L491" s="10">
        <f t="shared" si="90"/>
        <v>0.2003592982456141</v>
      </c>
      <c r="M491" s="7"/>
      <c r="N491" s="48"/>
      <c r="O491" s="78" cm="1">
        <f t="array" ref="O491">IF(M491&lt;12.5, 0,
IF(M491&lt;29, 6.25,
IF(M491&lt;50, 6.5,
IF(M491&lt;79, 6.75,
VALUE(SUBSTITUTE(
INDEX(RESUMO!$J$2:$J$100, MATCH(1,
(D491&gt;=RESUMO!$H$2:$H$100)*(D491&lt;=RESUMO!$I$2:$I$100)*(M491&gt;=RESUMO!$K$2:$K$100)*(M491&lt;=RESUMO!$L$2:$L$100),
0)), "R$ ", ""))
))))</f>
        <v>0</v>
      </c>
      <c r="P491" s="9"/>
      <c r="Q491" s="10" t="e">
        <f t="shared" si="91"/>
        <v>#DIV/0!</v>
      </c>
      <c r="R491" s="5">
        <f t="shared" si="92"/>
        <v>223.54240000000001</v>
      </c>
      <c r="S491" s="5">
        <f t="shared" si="93"/>
        <v>57.102400000000017</v>
      </c>
      <c r="T491" s="5">
        <f t="shared" si="94"/>
        <v>-6.6576000000000004</v>
      </c>
      <c r="U491" s="5">
        <f t="shared" si="95"/>
        <v>-173.0976</v>
      </c>
    </row>
    <row r="492" spans="1:21" x14ac:dyDescent="0.25">
      <c r="A492" s="11" t="s">
        <v>25</v>
      </c>
      <c r="B492" s="6" t="s">
        <v>551</v>
      </c>
      <c r="C492" s="9">
        <v>311.52999999999997</v>
      </c>
      <c r="D492" s="6">
        <v>3</v>
      </c>
      <c r="E492" s="8">
        <v>0.04</v>
      </c>
      <c r="F492" s="49">
        <v>0</v>
      </c>
      <c r="G492" s="9">
        <v>0</v>
      </c>
      <c r="H492" s="9">
        <v>499</v>
      </c>
      <c r="I492" s="48">
        <v>0.11</v>
      </c>
      <c r="J492" s="78" cm="1">
        <f t="array" ref="J492">IF(H492&lt;12.5, H492/2,
IF(H492&lt;29, 6.25,
IF(H492&lt;50, 6.5,
IF(H492&lt;79, 6.75,
VALUE(SUBSTITUTE(
INDEX(RESUMO!$J$2:$J$100, MATCH(1,
(D492&gt;=RESUMO!$H$2:$H$100)*(D492&lt;=RESUMO!$I$2:$I$100)*(H492&gt;=RESUMO!$K$2:$K$100)*(H492&lt;=RESUMO!$L$2:$L$100),
0)), "R$ ", ""))
))))</f>
        <v>24.95</v>
      </c>
      <c r="K492" s="9">
        <v>0</v>
      </c>
      <c r="L492" s="10">
        <f t="shared" si="90"/>
        <v>0.19071903807615237</v>
      </c>
      <c r="M492" s="7">
        <v>699</v>
      </c>
      <c r="N492" s="48">
        <v>0.16</v>
      </c>
      <c r="O492" s="78" cm="1">
        <f t="array" ref="O492">IF(M492&lt;12.5, 0,
IF(M492&lt;29, 6.25,
IF(M492&lt;50, 6.5,
IF(M492&lt;79, 6.75,
VALUE(SUBSTITUTE(
INDEX(RESUMO!$J$2:$J$100, MATCH(1,
(D492&gt;=RESUMO!$H$2:$H$100)*(D492&lt;=RESUMO!$I$2:$I$100)*(M492&gt;=RESUMO!$K$2:$K$100)*(M492&lt;=RESUMO!$L$2:$L$100),
0)), "R$ ", ""))
))))</f>
        <v>24.95</v>
      </c>
      <c r="P492" s="9">
        <v>0</v>
      </c>
      <c r="Q492" s="10">
        <f t="shared" si="91"/>
        <v>0.34079942775393418</v>
      </c>
      <c r="R492" s="5">
        <f t="shared" si="92"/>
        <v>406.69880000000001</v>
      </c>
      <c r="S492" s="5">
        <f t="shared" si="93"/>
        <v>95.168800000000033</v>
      </c>
      <c r="T492" s="5">
        <f t="shared" si="94"/>
        <v>549.74879999999996</v>
      </c>
      <c r="U492" s="5">
        <f t="shared" si="95"/>
        <v>238.21879999999999</v>
      </c>
    </row>
    <row r="493" spans="1:21" x14ac:dyDescent="0.25">
      <c r="A493" s="11" t="s">
        <v>25</v>
      </c>
      <c r="B493" s="6" t="s">
        <v>552</v>
      </c>
      <c r="C493" s="9">
        <v>311.52999999999997</v>
      </c>
      <c r="D493" s="6">
        <v>3</v>
      </c>
      <c r="E493" s="8">
        <v>0.04</v>
      </c>
      <c r="F493" s="49">
        <v>0</v>
      </c>
      <c r="G493" s="9">
        <v>0</v>
      </c>
      <c r="H493" s="9">
        <v>499</v>
      </c>
      <c r="I493" s="48">
        <v>0.11</v>
      </c>
      <c r="J493" s="78" cm="1">
        <f t="array" ref="J493">IF(H493&lt;12.5, H493/2,
IF(H493&lt;29, 6.25,
IF(H493&lt;50, 6.5,
IF(H493&lt;79, 6.75,
VALUE(SUBSTITUTE(
INDEX(RESUMO!$J$2:$J$100, MATCH(1,
(D493&gt;=RESUMO!$H$2:$H$100)*(D493&lt;=RESUMO!$I$2:$I$100)*(H493&gt;=RESUMO!$K$2:$K$100)*(H493&lt;=RESUMO!$L$2:$L$100),
0)), "R$ ", ""))
))))</f>
        <v>24.95</v>
      </c>
      <c r="K493" s="9">
        <v>0</v>
      </c>
      <c r="L493" s="10">
        <f t="shared" si="90"/>
        <v>0.19071903807615237</v>
      </c>
      <c r="M493" s="7">
        <v>699</v>
      </c>
      <c r="N493" s="48">
        <v>0.16</v>
      </c>
      <c r="O493" s="78" cm="1">
        <f t="array" ref="O493">IF(M493&lt;12.5, 0,
IF(M493&lt;29, 6.25,
IF(M493&lt;50, 6.5,
IF(M493&lt;79, 6.75,
VALUE(SUBSTITUTE(
INDEX(RESUMO!$J$2:$J$100, MATCH(1,
(D493&gt;=RESUMO!$H$2:$H$100)*(D493&lt;=RESUMO!$I$2:$I$100)*(M493&gt;=RESUMO!$K$2:$K$100)*(M493&lt;=RESUMO!$L$2:$L$100),
0)), "R$ ", ""))
))))</f>
        <v>24.95</v>
      </c>
      <c r="P493" s="9">
        <v>0</v>
      </c>
      <c r="Q493" s="10">
        <f t="shared" si="91"/>
        <v>0.34079942775393418</v>
      </c>
      <c r="R493" s="5">
        <f t="shared" si="92"/>
        <v>406.69880000000001</v>
      </c>
      <c r="S493" s="5">
        <f t="shared" si="93"/>
        <v>95.168800000000033</v>
      </c>
      <c r="T493" s="5">
        <f t="shared" si="94"/>
        <v>549.74879999999996</v>
      </c>
      <c r="U493" s="5">
        <f t="shared" si="95"/>
        <v>238.21879999999999</v>
      </c>
    </row>
    <row r="494" spans="1:21" x14ac:dyDescent="0.25">
      <c r="A494" s="11" t="s">
        <v>33</v>
      </c>
      <c r="B494" s="6" t="s">
        <v>553</v>
      </c>
      <c r="C494" s="9">
        <v>1868.44</v>
      </c>
      <c r="D494" s="6">
        <v>30</v>
      </c>
      <c r="E494" s="8">
        <v>0.04</v>
      </c>
      <c r="F494" s="49">
        <v>0</v>
      </c>
      <c r="G494" s="9">
        <v>0</v>
      </c>
      <c r="H494" s="9">
        <v>2799</v>
      </c>
      <c r="I494" s="48">
        <v>0.11</v>
      </c>
      <c r="J494" s="78" cm="1">
        <f t="array" ref="J494">IF(H494&lt;12.5, H494/2,
IF(H494&lt;29, 6.25,
IF(H494&lt;50, 6.5,
IF(H494&lt;79, 6.75,
VALUE(SUBSTITUTE(
INDEX(RESUMO!$J$2:$J$100, MATCH(1,
(D494&gt;=RESUMO!$H$2:$H$100)*(D494&lt;=RESUMO!$I$2:$I$100)*(H494&gt;=RESUMO!$K$2:$K$100)*(H494&lt;=RESUMO!$L$2:$L$100),
0)), "R$ ", ""))
))))</f>
        <v>98.95</v>
      </c>
      <c r="K494" s="9">
        <v>0</v>
      </c>
      <c r="L494" s="10">
        <f t="shared" si="90"/>
        <v>0.16040814576634524</v>
      </c>
      <c r="M494" s="7">
        <v>2999</v>
      </c>
      <c r="N494" s="48">
        <v>0.16</v>
      </c>
      <c r="O494" s="78" cm="1">
        <f t="array" ref="O494">IF(M494&lt;12.5, 0,
IF(M494&lt;29, 6.25,
IF(M494&lt;50, 6.5,
IF(M494&lt;79, 6.75,
VALUE(SUBSTITUTE(
INDEX(RESUMO!$J$2:$J$100, MATCH(1,
(D494&gt;=RESUMO!$H$2:$H$100)*(D494&lt;=RESUMO!$I$2:$I$100)*(M494&gt;=RESUMO!$K$2:$K$100)*(M494&lt;=RESUMO!$L$2:$L$100),
0)), "R$ ", ""))
))))</f>
        <v>98.95</v>
      </c>
      <c r="P494" s="9">
        <v>0</v>
      </c>
      <c r="Q494" s="10">
        <f t="shared" si="91"/>
        <v>0.15906382127375793</v>
      </c>
      <c r="R494" s="5">
        <f t="shared" si="92"/>
        <v>2317.4224000000004</v>
      </c>
      <c r="S494" s="5">
        <f t="shared" si="93"/>
        <v>448.98240000000033</v>
      </c>
      <c r="T494" s="5">
        <f t="shared" si="94"/>
        <v>2345.4724000000001</v>
      </c>
      <c r="U494" s="5">
        <f t="shared" si="95"/>
        <v>477.03240000000005</v>
      </c>
    </row>
    <row r="495" spans="1:21" x14ac:dyDescent="0.25">
      <c r="A495" s="11" t="s">
        <v>33</v>
      </c>
      <c r="B495" s="6" t="s">
        <v>554</v>
      </c>
      <c r="C495" s="9">
        <v>1868.44</v>
      </c>
      <c r="D495" s="6">
        <v>30</v>
      </c>
      <c r="E495" s="8">
        <v>0.04</v>
      </c>
      <c r="F495" s="49">
        <v>0</v>
      </c>
      <c r="G495" s="9">
        <v>0</v>
      </c>
      <c r="H495" s="9">
        <v>2799</v>
      </c>
      <c r="I495" s="48">
        <v>0.11</v>
      </c>
      <c r="J495" s="78" cm="1">
        <f t="array" ref="J495">IF(H495&lt;12.5, H495/2,
IF(H495&lt;29, 6.25,
IF(H495&lt;50, 6.5,
IF(H495&lt;79, 6.75,
VALUE(SUBSTITUTE(
INDEX(RESUMO!$J$2:$J$100, MATCH(1,
(D495&gt;=RESUMO!$H$2:$H$100)*(D495&lt;=RESUMO!$I$2:$I$100)*(H495&gt;=RESUMO!$K$2:$K$100)*(H495&lt;=RESUMO!$L$2:$L$100),
0)), "R$ ", ""))
))))</f>
        <v>98.95</v>
      </c>
      <c r="K495" s="9">
        <v>0</v>
      </c>
      <c r="L495" s="10">
        <f t="shared" ref="L495" si="96">S495/H495</f>
        <v>0.16040814576634524</v>
      </c>
      <c r="M495" s="7">
        <v>2999</v>
      </c>
      <c r="N495" s="48">
        <v>0.16</v>
      </c>
      <c r="O495" s="78" cm="1">
        <f t="array" ref="O495">IF(M495&lt;12.5, 0,
IF(M495&lt;29, 6.25,
IF(M495&lt;50, 6.5,
IF(M495&lt;79, 6.75,
VALUE(SUBSTITUTE(
INDEX(RESUMO!$J$2:$J$100, MATCH(1,
(D495&gt;=RESUMO!$H$2:$H$100)*(D495&lt;=RESUMO!$I$2:$I$100)*(M495&gt;=RESUMO!$K$2:$K$100)*(M495&lt;=RESUMO!$L$2:$L$100),
0)), "R$ ", ""))
))))</f>
        <v>98.95</v>
      </c>
      <c r="P495" s="9">
        <v>0</v>
      </c>
      <c r="Q495" s="10">
        <f t="shared" si="91"/>
        <v>0.15906382127375793</v>
      </c>
      <c r="R495" s="5">
        <f t="shared" si="92"/>
        <v>2317.4224000000004</v>
      </c>
      <c r="S495" s="5">
        <f t="shared" si="93"/>
        <v>448.98240000000033</v>
      </c>
      <c r="T495" s="5">
        <f t="shared" si="94"/>
        <v>2345.4724000000001</v>
      </c>
      <c r="U495" s="5">
        <f t="shared" si="95"/>
        <v>477.03240000000005</v>
      </c>
    </row>
    <row r="496" spans="1:21" x14ac:dyDescent="0.25">
      <c r="A496" s="11" t="s">
        <v>33</v>
      </c>
      <c r="B496" s="6" t="s">
        <v>555</v>
      </c>
      <c r="C496" s="9">
        <v>1967.82</v>
      </c>
      <c r="D496" s="6">
        <v>30</v>
      </c>
      <c r="E496" s="8">
        <v>0.04</v>
      </c>
      <c r="F496" s="49">
        <v>0</v>
      </c>
      <c r="G496" s="9">
        <v>0</v>
      </c>
      <c r="H496" s="9">
        <v>3065</v>
      </c>
      <c r="I496" s="48">
        <v>0.11</v>
      </c>
      <c r="J496" s="78" cm="1">
        <f t="array" ref="J496">IF(H496&lt;12.5, H496/2,
IF(H496&lt;29, 6.25,
IF(H496&lt;50, 6.5,
IF(H496&lt;79, 6.75,
VALUE(SUBSTITUTE(
INDEX(RESUMO!$J$2:$J$100, MATCH(1,
(D496&gt;=RESUMO!$H$2:$H$100)*(D496&lt;=RESUMO!$I$2:$I$100)*(H496&gt;=RESUMO!$K$2:$K$100)*(H496&lt;=RESUMO!$L$2:$L$100),
0)), "R$ ", ""))
))))</f>
        <v>98.95</v>
      </c>
      <c r="K496" s="9">
        <v>0</v>
      </c>
      <c r="L496" s="10">
        <f t="shared" si="90"/>
        <v>0.19000561174551397</v>
      </c>
      <c r="M496" s="7">
        <v>3299</v>
      </c>
      <c r="N496" s="48">
        <v>0.16</v>
      </c>
      <c r="O496" s="78" cm="1">
        <f t="array" ref="O496">IF(M496&lt;12.5, 0,
IF(M496&lt;29, 6.25,
IF(M496&lt;50, 6.5,
IF(M496&lt;79, 6.75,
VALUE(SUBSTITUTE(
INDEX(RESUMO!$J$2:$J$100, MATCH(1,
(D496&gt;=RESUMO!$H$2:$H$100)*(D496&lt;=RESUMO!$I$2:$I$100)*(M496&gt;=RESUMO!$K$2:$K$100)*(M496&lt;=RESUMO!$L$2:$L$100),
0)), "R$ ", ""))
))))</f>
        <v>98.95</v>
      </c>
      <c r="P496" s="9">
        <v>0</v>
      </c>
      <c r="Q496" s="10">
        <f t="shared" si="91"/>
        <v>0.18965662321915741</v>
      </c>
      <c r="R496" s="5">
        <f t="shared" si="92"/>
        <v>2550.1872000000003</v>
      </c>
      <c r="S496" s="5">
        <f t="shared" si="93"/>
        <v>582.36720000000037</v>
      </c>
      <c r="T496" s="5">
        <f t="shared" si="94"/>
        <v>2593.4972000000002</v>
      </c>
      <c r="U496" s="5">
        <f t="shared" si="95"/>
        <v>625.67720000000031</v>
      </c>
    </row>
    <row r="497" spans="1:21" x14ac:dyDescent="0.25">
      <c r="A497" s="11" t="s">
        <v>33</v>
      </c>
      <c r="B497" s="6" t="s">
        <v>556</v>
      </c>
      <c r="C497" s="9">
        <v>1967.82</v>
      </c>
      <c r="D497" s="6">
        <v>30</v>
      </c>
      <c r="E497" s="8">
        <v>0.04</v>
      </c>
      <c r="F497" s="49">
        <v>0</v>
      </c>
      <c r="G497" s="9">
        <v>0</v>
      </c>
      <c r="H497" s="9">
        <v>2799</v>
      </c>
      <c r="I497" s="48">
        <v>0.11</v>
      </c>
      <c r="J497" s="78" cm="1">
        <f t="array" ref="J497">IF(H497&lt;12.5, H497/2,
IF(H497&lt;29, 6.25,
IF(H497&lt;50, 6.5,
IF(H497&lt;79, 6.75,
VALUE(SUBSTITUTE(
INDEX(RESUMO!$J$2:$J$100, MATCH(1,
(D497&gt;=RESUMO!$H$2:$H$100)*(D497&lt;=RESUMO!$I$2:$I$100)*(H497&gt;=RESUMO!$K$2:$K$100)*(H497&lt;=RESUMO!$L$2:$L$100),
0)), "R$ ", ""))
))))</f>
        <v>98.95</v>
      </c>
      <c r="K497" s="9">
        <v>0</v>
      </c>
      <c r="L497" s="10">
        <f t="shared" si="90"/>
        <v>0.12348238656663114</v>
      </c>
      <c r="M497" s="7">
        <v>2999</v>
      </c>
      <c r="N497" s="48">
        <v>0.16</v>
      </c>
      <c r="O497" s="78" cm="1">
        <f t="array" ref="O497">IF(M497&lt;12.5, 0,
IF(M497&lt;29, 6.25,
IF(M497&lt;50, 6.5,
IF(M497&lt;79, 6.75,
VALUE(SUBSTITUTE(
INDEX(RESUMO!$J$2:$J$100, MATCH(1,
(D497&gt;=RESUMO!$H$2:$H$100)*(D497&lt;=RESUMO!$I$2:$I$100)*(M497&gt;=RESUMO!$K$2:$K$100)*(M497&lt;=RESUMO!$L$2:$L$100),
0)), "R$ ", ""))
))))</f>
        <v>98.95</v>
      </c>
      <c r="P497" s="9">
        <v>0</v>
      </c>
      <c r="Q497" s="10">
        <f t="shared" si="91"/>
        <v>0.12460060020006679</v>
      </c>
      <c r="R497" s="5">
        <f t="shared" si="92"/>
        <v>2313.4472000000005</v>
      </c>
      <c r="S497" s="5">
        <f t="shared" si="93"/>
        <v>345.62720000000058</v>
      </c>
      <c r="T497" s="5">
        <f t="shared" si="94"/>
        <v>2341.4972000000002</v>
      </c>
      <c r="U497" s="5">
        <f t="shared" si="95"/>
        <v>373.67720000000031</v>
      </c>
    </row>
    <row r="498" spans="1:21" x14ac:dyDescent="0.25">
      <c r="A498" s="11" t="s">
        <v>33</v>
      </c>
      <c r="B498" s="6" t="s">
        <v>557</v>
      </c>
      <c r="C498" s="9">
        <v>591.66999999999996</v>
      </c>
      <c r="D498" s="6">
        <v>70</v>
      </c>
      <c r="E498" s="8">
        <v>0.04</v>
      </c>
      <c r="F498" s="49">
        <v>0</v>
      </c>
      <c r="G498" s="9">
        <v>0</v>
      </c>
      <c r="H498" s="9">
        <v>999</v>
      </c>
      <c r="I498" s="48">
        <v>0.11</v>
      </c>
      <c r="J498" s="78" cm="1">
        <f t="array" ref="J498">IF(H498&lt;12.5, H498/2,
IF(H498&lt;29, 6.25,
IF(H498&lt;50, 6.5,
IF(H498&lt;79, 6.75,
VALUE(SUBSTITUTE(
INDEX(RESUMO!$J$2:$J$100, MATCH(1,
(D498&gt;=RESUMO!$H$2:$H$100)*(D498&lt;=RESUMO!$I$2:$I$100)*(H498&gt;=RESUMO!$K$2:$K$100)*(H498&lt;=RESUMO!$L$2:$L$100),
0)), "R$ ", ""))
))))</f>
        <v>120.45</v>
      </c>
      <c r="K498" s="9">
        <v>0</v>
      </c>
      <c r="L498" s="10">
        <f t="shared" si="90"/>
        <v>0.15347667667667672</v>
      </c>
      <c r="M498" s="7">
        <v>1075</v>
      </c>
      <c r="N498" s="48">
        <v>0.16</v>
      </c>
      <c r="O498" s="78" cm="1">
        <f t="array" ref="O498">IF(M498&lt;12.5, 0,
IF(M498&lt;29, 6.25,
IF(M498&lt;50, 6.5,
IF(M498&lt;79, 6.75,
VALUE(SUBSTITUTE(
INDEX(RESUMO!$J$2:$J$100, MATCH(1,
(D498&gt;=RESUMO!$H$2:$H$100)*(D498&lt;=RESUMO!$I$2:$I$100)*(M498&gt;=RESUMO!$K$2:$K$100)*(M498&lt;=RESUMO!$L$2:$L$100),
0)), "R$ ", ""))
))))</f>
        <v>120.45</v>
      </c>
      <c r="P498" s="9">
        <v>0</v>
      </c>
      <c r="Q498" s="10">
        <f t="shared" si="91"/>
        <v>0.15554716279069769</v>
      </c>
      <c r="R498" s="5">
        <f t="shared" si="92"/>
        <v>744.9932</v>
      </c>
      <c r="S498" s="5">
        <f t="shared" si="93"/>
        <v>153.32320000000004</v>
      </c>
      <c r="T498" s="5">
        <f t="shared" si="94"/>
        <v>758.88319999999999</v>
      </c>
      <c r="U498" s="5">
        <f t="shared" si="95"/>
        <v>167.21320000000003</v>
      </c>
    </row>
    <row r="499" spans="1:21" x14ac:dyDescent="0.25">
      <c r="A499" s="11" t="s">
        <v>33</v>
      </c>
      <c r="B499" s="6" t="s">
        <v>558</v>
      </c>
      <c r="C499" s="9">
        <v>614.47</v>
      </c>
      <c r="D499" s="6">
        <v>9</v>
      </c>
      <c r="E499" s="8">
        <v>0.04</v>
      </c>
      <c r="F499" s="49">
        <v>0</v>
      </c>
      <c r="G499" s="9">
        <v>0</v>
      </c>
      <c r="H499" s="9">
        <v>1025</v>
      </c>
      <c r="I499" s="48">
        <v>0.11</v>
      </c>
      <c r="J499" s="78" cm="1">
        <f t="array" ref="J499">IF(H499&lt;12.5, H499/2,
IF(H499&lt;29, 6.25,
IF(H499&lt;50, 6.5,
IF(H499&lt;79, 6.75,
VALUE(SUBSTITUTE(
INDEX(RESUMO!$J$2:$J$100, MATCH(1,
(D499&gt;=RESUMO!$H$2:$H$100)*(D499&lt;=RESUMO!$I$2:$I$100)*(H499&gt;=RESUMO!$K$2:$K$100)*(H499&lt;=RESUMO!$L$2:$L$100),
0)), "R$ ", ""))
))))</f>
        <v>44.45</v>
      </c>
      <c r="K499" s="9">
        <v>0</v>
      </c>
      <c r="L499" s="10">
        <f t="shared" ref="L499" si="97">S499/H499</f>
        <v>0.22317190243902432</v>
      </c>
      <c r="M499" s="7">
        <v>1075</v>
      </c>
      <c r="N499" s="48">
        <v>0.16</v>
      </c>
      <c r="O499" s="78" cm="1">
        <f t="array" ref="O499">IF(M499&lt;12.5, 0,
IF(M499&lt;29, 6.25,
IF(M499&lt;50, 6.5,
IF(M499&lt;79, 6.75,
VALUE(SUBSTITUTE(
INDEX(RESUMO!$J$2:$J$100, MATCH(1,
(D499&gt;=RESUMO!$H$2:$H$100)*(D499&lt;=RESUMO!$I$2:$I$100)*(M499&gt;=RESUMO!$K$2:$K$100)*(M499&lt;=RESUMO!$L$2:$L$100),
0)), "R$ ", ""))
))))</f>
        <v>44.45</v>
      </c>
      <c r="P499" s="9">
        <v>0</v>
      </c>
      <c r="Q499" s="10">
        <f t="shared" si="91"/>
        <v>0.2041871627906976</v>
      </c>
      <c r="R499" s="5">
        <f t="shared" si="92"/>
        <v>843.22119999999995</v>
      </c>
      <c r="S499" s="5">
        <f t="shared" si="93"/>
        <v>228.75119999999993</v>
      </c>
      <c r="T499" s="5">
        <f t="shared" si="94"/>
        <v>833.97119999999995</v>
      </c>
      <c r="U499" s="5">
        <f t="shared" si="95"/>
        <v>219.50119999999993</v>
      </c>
    </row>
    <row r="500" spans="1:21" x14ac:dyDescent="0.25">
      <c r="A500" s="11" t="s">
        <v>33</v>
      </c>
      <c r="B500" s="6" t="s">
        <v>559</v>
      </c>
      <c r="C500" s="9">
        <v>209.88</v>
      </c>
      <c r="D500" s="6">
        <v>2</v>
      </c>
      <c r="E500" s="8">
        <v>0.04</v>
      </c>
      <c r="F500" s="49">
        <v>0</v>
      </c>
      <c r="G500" s="9">
        <v>0</v>
      </c>
      <c r="H500" s="9">
        <v>355</v>
      </c>
      <c r="I500" s="48">
        <v>0.11</v>
      </c>
      <c r="J500" s="78" cm="1">
        <f t="array" ref="J500">IF(H500&lt;12.5, H500/2,
IF(H500&lt;29, 6.25,
IF(H500&lt;50, 6.5,
IF(H500&lt;79, 6.75,
VALUE(SUBSTITUTE(
INDEX(RESUMO!$J$2:$J$100, MATCH(1,
(D500&gt;=RESUMO!$H$2:$H$100)*(D500&lt;=RESUMO!$I$2:$I$100)*(H500&gt;=RESUMO!$K$2:$K$100)*(H500&lt;=RESUMO!$L$2:$L$100),
0)), "R$ ", ""))
))))</f>
        <v>23.45</v>
      </c>
      <c r="K500" s="9">
        <v>0</v>
      </c>
      <c r="L500" s="10">
        <f t="shared" si="90"/>
        <v>0.20908394366197189</v>
      </c>
      <c r="M500" s="7"/>
      <c r="N500" s="48"/>
      <c r="O500" s="78" cm="1">
        <f t="array" ref="O500">IF(M500&lt;12.5, 0,
IF(M500&lt;29, 6.25,
IF(M500&lt;50, 6.5,
IF(M500&lt;79, 6.75,
VALUE(SUBSTITUTE(
INDEX(RESUMO!$J$2:$J$100, MATCH(1,
(D500&gt;=RESUMO!$H$2:$H$100)*(D500&lt;=RESUMO!$I$2:$I$100)*(M500&gt;=RESUMO!$K$2:$K$100)*(M500&lt;=RESUMO!$L$2:$L$100),
0)), "R$ ", ""))
))))</f>
        <v>0</v>
      </c>
      <c r="P500" s="9"/>
      <c r="Q500" s="10" t="e">
        <f t="shared" si="91"/>
        <v>#DIV/0!</v>
      </c>
      <c r="R500" s="5">
        <f t="shared" si="92"/>
        <v>284.10480000000001</v>
      </c>
      <c r="S500" s="5">
        <f t="shared" si="93"/>
        <v>74.224800000000016</v>
      </c>
      <c r="T500" s="5">
        <f t="shared" si="94"/>
        <v>-8.3951999999999991</v>
      </c>
      <c r="U500" s="5">
        <f t="shared" si="95"/>
        <v>-218.27519999999998</v>
      </c>
    </row>
    <row r="501" spans="1:21" x14ac:dyDescent="0.25">
      <c r="A501" s="11" t="s">
        <v>33</v>
      </c>
      <c r="B501" s="6" t="s">
        <v>560</v>
      </c>
      <c r="C501" s="9">
        <v>223.2</v>
      </c>
      <c r="D501" s="6">
        <v>4</v>
      </c>
      <c r="E501" s="8">
        <v>0.04</v>
      </c>
      <c r="F501" s="49">
        <v>0</v>
      </c>
      <c r="G501" s="9">
        <v>0</v>
      </c>
      <c r="H501" s="9">
        <v>375</v>
      </c>
      <c r="I501" s="48">
        <v>0.11</v>
      </c>
      <c r="J501" s="78" cm="1">
        <f t="array" ref="J501">IF(H501&lt;12.5, H501/2,
IF(H501&lt;29, 6.25,
IF(H501&lt;50, 6.5,
IF(H501&lt;79, 6.75,
VALUE(SUBSTITUTE(
INDEX(RESUMO!$J$2:$J$100, MATCH(1,
(D501&gt;=RESUMO!$H$2:$H$100)*(D501&lt;=RESUMO!$I$2:$I$100)*(H501&gt;=RESUMO!$K$2:$K$100)*(H501&lt;=RESUMO!$L$2:$L$100),
0)), "R$ ", ""))
))))</f>
        <v>26.95</v>
      </c>
      <c r="K501" s="9">
        <v>0</v>
      </c>
      <c r="L501" s="10">
        <f t="shared" si="90"/>
        <v>0.1991253333333334</v>
      </c>
      <c r="M501" s="7"/>
      <c r="N501" s="48"/>
      <c r="O501" s="78" cm="1">
        <f t="array" ref="O501">IF(M501&lt;12.5, 0,
IF(M501&lt;29, 6.25,
IF(M501&lt;50, 6.5,
IF(M501&lt;79, 6.75,
VALUE(SUBSTITUTE(
INDEX(RESUMO!$J$2:$J$100, MATCH(1,
(D501&gt;=RESUMO!$H$2:$H$100)*(D501&lt;=RESUMO!$I$2:$I$100)*(M501&gt;=RESUMO!$K$2:$K$100)*(M501&lt;=RESUMO!$L$2:$L$100),
0)), "R$ ", ""))
))))</f>
        <v>0</v>
      </c>
      <c r="P501" s="9"/>
      <c r="Q501" s="10" t="e">
        <f t="shared" si="91"/>
        <v>#DIV/0!</v>
      </c>
      <c r="R501" s="5">
        <f t="shared" si="92"/>
        <v>297.87200000000001</v>
      </c>
      <c r="S501" s="5">
        <f t="shared" si="93"/>
        <v>74.672000000000025</v>
      </c>
      <c r="T501" s="5">
        <f t="shared" si="94"/>
        <v>-8.927999999999999</v>
      </c>
      <c r="U501" s="5">
        <f t="shared" si="95"/>
        <v>-232.12799999999999</v>
      </c>
    </row>
    <row r="502" spans="1:21" x14ac:dyDescent="0.25">
      <c r="A502" s="11" t="s">
        <v>33</v>
      </c>
      <c r="B502" s="6" t="s">
        <v>561</v>
      </c>
      <c r="C502" s="9">
        <v>223.2</v>
      </c>
      <c r="D502" s="6">
        <v>4</v>
      </c>
      <c r="E502" s="8">
        <v>0.04</v>
      </c>
      <c r="F502" s="49">
        <v>0</v>
      </c>
      <c r="G502" s="9">
        <v>0</v>
      </c>
      <c r="H502" s="9">
        <v>375</v>
      </c>
      <c r="I502" s="48">
        <v>0.11</v>
      </c>
      <c r="J502" s="78" cm="1">
        <f t="array" ref="J502">IF(H502&lt;12.5, H502/2,
IF(H502&lt;29, 6.25,
IF(H502&lt;50, 6.5,
IF(H502&lt;79, 6.75,
VALUE(SUBSTITUTE(
INDEX(RESUMO!$J$2:$J$100, MATCH(1,
(D502&gt;=RESUMO!$H$2:$H$100)*(D502&lt;=RESUMO!$I$2:$I$100)*(H502&gt;=RESUMO!$K$2:$K$100)*(H502&lt;=RESUMO!$L$2:$L$100),
0)), "R$ ", ""))
))))</f>
        <v>26.95</v>
      </c>
      <c r="K502" s="9">
        <v>0</v>
      </c>
      <c r="L502" s="10">
        <f t="shared" si="90"/>
        <v>0.1991253333333334</v>
      </c>
      <c r="M502" s="7"/>
      <c r="N502" s="48"/>
      <c r="O502" s="78" cm="1">
        <f t="array" ref="O502">IF(M502&lt;12.5, 0,
IF(M502&lt;29, 6.25,
IF(M502&lt;50, 6.5,
IF(M502&lt;79, 6.75,
VALUE(SUBSTITUTE(
INDEX(RESUMO!$J$2:$J$100, MATCH(1,
(D502&gt;=RESUMO!$H$2:$H$100)*(D502&lt;=RESUMO!$I$2:$I$100)*(M502&gt;=RESUMO!$K$2:$K$100)*(M502&lt;=RESUMO!$L$2:$L$100),
0)), "R$ ", ""))
))))</f>
        <v>0</v>
      </c>
      <c r="P502" s="9"/>
      <c r="Q502" s="10" t="e">
        <f t="shared" si="91"/>
        <v>#DIV/0!</v>
      </c>
      <c r="R502" s="5">
        <f t="shared" si="92"/>
        <v>297.87200000000001</v>
      </c>
      <c r="S502" s="5">
        <f t="shared" si="93"/>
        <v>74.672000000000025</v>
      </c>
      <c r="T502" s="5">
        <f t="shared" si="94"/>
        <v>-8.927999999999999</v>
      </c>
      <c r="U502" s="5">
        <f t="shared" si="95"/>
        <v>-232.12799999999999</v>
      </c>
    </row>
    <row r="503" spans="1:21" x14ac:dyDescent="0.25">
      <c r="A503" s="11" t="s">
        <v>33</v>
      </c>
      <c r="B503" s="6" t="s">
        <v>562</v>
      </c>
      <c r="C503" s="9">
        <v>931.62</v>
      </c>
      <c r="D503" s="6">
        <v>13</v>
      </c>
      <c r="E503" s="8">
        <v>0.04</v>
      </c>
      <c r="F503" s="49">
        <v>0</v>
      </c>
      <c r="G503" s="9">
        <v>0</v>
      </c>
      <c r="H503" s="9">
        <v>1459</v>
      </c>
      <c r="I503" s="48">
        <v>0.11</v>
      </c>
      <c r="J503" s="78" cm="1">
        <f t="array" ref="J503">IF(H503&lt;12.5, H503/2,
IF(H503&lt;29, 6.25,
IF(H503&lt;50, 6.5,
IF(H503&lt;79, 6.75,
VALUE(SUBSTITUTE(
INDEX(RESUMO!$J$2:$J$100, MATCH(1,
(D503&gt;=RESUMO!$H$2:$H$100)*(D503&lt;=RESUMO!$I$2:$I$100)*(H503&gt;=RESUMO!$K$2:$K$100)*(H503&lt;=RESUMO!$L$2:$L$100),
0)), "R$ ", ""))
))))</f>
        <v>65.95</v>
      </c>
      <c r="K503" s="9">
        <v>0</v>
      </c>
      <c r="L503" s="10">
        <f t="shared" si="90"/>
        <v>0.18072323509252913</v>
      </c>
      <c r="M503" s="7">
        <v>1575</v>
      </c>
      <c r="N503" s="48">
        <v>0.16</v>
      </c>
      <c r="O503" s="78" cm="1">
        <f t="array" ref="O503">IF(M503&lt;12.5, 0,
IF(M503&lt;29, 6.25,
IF(M503&lt;50, 6.5,
IF(M503&lt;79, 6.75,
VALUE(SUBSTITUTE(
INDEX(RESUMO!$J$2:$J$100, MATCH(1,
(D503&gt;=RESUMO!$H$2:$H$100)*(D503&lt;=RESUMO!$I$2:$I$100)*(M503&gt;=RESUMO!$K$2:$K$100)*(M503&lt;=RESUMO!$L$2:$L$100),
0)), "R$ ", ""))
))))</f>
        <v>65.95</v>
      </c>
      <c r="P503" s="9">
        <v>0</v>
      </c>
      <c r="Q503" s="10">
        <f t="shared" si="91"/>
        <v>0.18296203174603176</v>
      </c>
      <c r="R503" s="5">
        <f t="shared" si="92"/>
        <v>1195.2952</v>
      </c>
      <c r="S503" s="5">
        <f t="shared" si="93"/>
        <v>263.67520000000002</v>
      </c>
      <c r="T503" s="5">
        <f t="shared" si="94"/>
        <v>1219.7852</v>
      </c>
      <c r="U503" s="5">
        <f t="shared" si="95"/>
        <v>288.16520000000003</v>
      </c>
    </row>
    <row r="504" spans="1:21" x14ac:dyDescent="0.25">
      <c r="A504" s="11" t="s">
        <v>33</v>
      </c>
      <c r="B504" s="6" t="s">
        <v>563</v>
      </c>
      <c r="C504" s="9">
        <v>266.68</v>
      </c>
      <c r="D504" s="6">
        <v>30</v>
      </c>
      <c r="E504" s="8">
        <v>0.04</v>
      </c>
      <c r="F504" s="49">
        <v>0</v>
      </c>
      <c r="G504" s="9">
        <v>0</v>
      </c>
      <c r="H504" s="9">
        <v>515</v>
      </c>
      <c r="I504" s="48">
        <v>0.11</v>
      </c>
      <c r="J504" s="78" cm="1">
        <f t="array" ref="J504">IF(H504&lt;12.5, H504/2,
IF(H504&lt;29, 6.25,
IF(H504&lt;50, 6.5,
IF(H504&lt;79, 6.75,
VALUE(SUBSTITUTE(
INDEX(RESUMO!$J$2:$J$100, MATCH(1,
(D504&gt;=RESUMO!$H$2:$H$100)*(D504&lt;=RESUMO!$I$2:$I$100)*(H504&gt;=RESUMO!$K$2:$K$100)*(H504&lt;=RESUMO!$L$2:$L$100),
0)), "R$ ", ""))
))))</f>
        <v>98.95</v>
      </c>
      <c r="K504" s="9">
        <v>0</v>
      </c>
      <c r="L504" s="10">
        <f t="shared" si="90"/>
        <v>0.15932582524271854</v>
      </c>
      <c r="M504" s="7">
        <v>549</v>
      </c>
      <c r="N504" s="48">
        <v>0.16</v>
      </c>
      <c r="O504" s="78" cm="1">
        <f t="array" ref="O504">IF(M504&lt;12.5, 0,
IF(M504&lt;29, 6.25,
IF(M504&lt;50, 6.5,
IF(M504&lt;79, 6.75,
VALUE(SUBSTITUTE(
INDEX(RESUMO!$J$2:$J$100, MATCH(1,
(D504&gt;=RESUMO!$H$2:$H$100)*(D504&lt;=RESUMO!$I$2:$I$100)*(M504&gt;=RESUMO!$K$2:$K$100)*(M504&lt;=RESUMO!$L$2:$L$100),
0)), "R$ ", ""))
))))</f>
        <v>98.95</v>
      </c>
      <c r="P504" s="9">
        <v>0</v>
      </c>
      <c r="Q504" s="10">
        <f t="shared" si="91"/>
        <v>0.15457704918032786</v>
      </c>
      <c r="R504" s="5">
        <f t="shared" si="92"/>
        <v>348.73280000000005</v>
      </c>
      <c r="S504" s="5">
        <f t="shared" si="93"/>
        <v>82.052800000000047</v>
      </c>
      <c r="T504" s="5">
        <f t="shared" si="94"/>
        <v>351.5428</v>
      </c>
      <c r="U504" s="5">
        <f t="shared" si="95"/>
        <v>84.862799999999993</v>
      </c>
    </row>
    <row r="505" spans="1:21" x14ac:dyDescent="0.25">
      <c r="A505" s="11" t="s">
        <v>33</v>
      </c>
      <c r="B505" s="6" t="s">
        <v>564</v>
      </c>
      <c r="C505" s="9">
        <v>492.16</v>
      </c>
      <c r="D505" s="6">
        <v>30</v>
      </c>
      <c r="E505" s="8">
        <v>0.04</v>
      </c>
      <c r="F505" s="49">
        <v>0</v>
      </c>
      <c r="G505" s="9">
        <v>0</v>
      </c>
      <c r="H505" s="9">
        <v>825</v>
      </c>
      <c r="I505" s="48">
        <v>0.11</v>
      </c>
      <c r="J505" s="78" cm="1">
        <f t="array" ref="J505">IF(H505&lt;12.5, H505/2,
IF(H505&lt;29, 6.25,
IF(H505&lt;50, 6.5,
IF(H505&lt;79, 6.75,
VALUE(SUBSTITUTE(
INDEX(RESUMO!$J$2:$J$100, MATCH(1,
(D505&gt;=RESUMO!$H$2:$H$100)*(D505&lt;=RESUMO!$I$2:$I$100)*(H505&gt;=RESUMO!$K$2:$K$100)*(H505&lt;=RESUMO!$L$2:$L$100),
0)), "R$ ", ""))
))))</f>
        <v>98.95</v>
      </c>
      <c r="K505" s="9">
        <v>0</v>
      </c>
      <c r="L505" s="10">
        <f t="shared" si="90"/>
        <v>0.14964072727272712</v>
      </c>
      <c r="M505" s="7">
        <v>899</v>
      </c>
      <c r="N505" s="48">
        <v>0.16</v>
      </c>
      <c r="O505" s="78" cm="1">
        <f t="array" ref="O505">IF(M505&lt;12.5, 0,
IF(M505&lt;29, 6.25,
IF(M505&lt;50, 6.5,
IF(M505&lt;79, 6.75,
VALUE(SUBSTITUTE(
INDEX(RESUMO!$J$2:$J$100, MATCH(1,
(D505&gt;=RESUMO!$H$2:$H$100)*(D505&lt;=RESUMO!$I$2:$I$100)*(M505&gt;=RESUMO!$K$2:$K$100)*(M505&lt;=RESUMO!$L$2:$L$100),
0)), "R$ ", ""))
))))</f>
        <v>98.95</v>
      </c>
      <c r="P505" s="9">
        <v>0</v>
      </c>
      <c r="Q505" s="10">
        <f t="shared" si="91"/>
        <v>0.16058242491657379</v>
      </c>
      <c r="R505" s="5">
        <f t="shared" si="92"/>
        <v>615.61359999999991</v>
      </c>
      <c r="S505" s="5">
        <f t="shared" si="93"/>
        <v>123.45359999999988</v>
      </c>
      <c r="T505" s="5">
        <f t="shared" si="94"/>
        <v>636.52359999999987</v>
      </c>
      <c r="U505" s="5">
        <f t="shared" si="95"/>
        <v>144.36359999999985</v>
      </c>
    </row>
    <row r="506" spans="1:21" x14ac:dyDescent="0.25">
      <c r="A506" s="11" t="s">
        <v>33</v>
      </c>
      <c r="B506" s="6" t="s">
        <v>565</v>
      </c>
      <c r="C506" s="9">
        <v>492.16</v>
      </c>
      <c r="D506" s="6">
        <v>30</v>
      </c>
      <c r="E506" s="8">
        <v>0.04</v>
      </c>
      <c r="F506" s="49">
        <v>0</v>
      </c>
      <c r="G506" s="9">
        <v>0</v>
      </c>
      <c r="H506" s="9">
        <v>825</v>
      </c>
      <c r="I506" s="48">
        <v>0.11</v>
      </c>
      <c r="J506" s="78" cm="1">
        <f t="array" ref="J506">IF(H506&lt;12.5, H506/2,
IF(H506&lt;29, 6.25,
IF(H506&lt;50, 6.5,
IF(H506&lt;79, 6.75,
VALUE(SUBSTITUTE(
INDEX(RESUMO!$J$2:$J$100, MATCH(1,
(D506&gt;=RESUMO!$H$2:$H$100)*(D506&lt;=RESUMO!$I$2:$I$100)*(H506&gt;=RESUMO!$K$2:$K$100)*(H506&lt;=RESUMO!$L$2:$L$100),
0)), "R$ ", ""))
))))</f>
        <v>98.95</v>
      </c>
      <c r="K506" s="9">
        <v>0</v>
      </c>
      <c r="L506" s="10">
        <f t="shared" ref="L506" si="98">S506/H506</f>
        <v>0.14964072727272712</v>
      </c>
      <c r="M506" s="7">
        <v>899</v>
      </c>
      <c r="N506" s="48">
        <v>0.16</v>
      </c>
      <c r="O506" s="78" cm="1">
        <f t="array" ref="O506">IF(M506&lt;12.5, 0,
IF(M506&lt;29, 6.25,
IF(M506&lt;50, 6.5,
IF(M506&lt;79, 6.75,
VALUE(SUBSTITUTE(
INDEX(RESUMO!$J$2:$J$100, MATCH(1,
(D506&gt;=RESUMO!$H$2:$H$100)*(D506&lt;=RESUMO!$I$2:$I$100)*(M506&gt;=RESUMO!$K$2:$K$100)*(M506&lt;=RESUMO!$L$2:$L$100),
0)), "R$ ", ""))
))))</f>
        <v>98.95</v>
      </c>
      <c r="P506" s="9">
        <v>0</v>
      </c>
      <c r="Q506" s="10">
        <f t="shared" si="91"/>
        <v>0.16058242491657379</v>
      </c>
      <c r="R506" s="5">
        <f t="shared" si="92"/>
        <v>615.61359999999991</v>
      </c>
      <c r="S506" s="5">
        <f t="shared" si="93"/>
        <v>123.45359999999988</v>
      </c>
      <c r="T506" s="5">
        <f t="shared" si="94"/>
        <v>636.52359999999987</v>
      </c>
      <c r="U506" s="5">
        <f t="shared" si="95"/>
        <v>144.36359999999985</v>
      </c>
    </row>
    <row r="507" spans="1:21" x14ac:dyDescent="0.25">
      <c r="A507" s="11" t="s">
        <v>33</v>
      </c>
      <c r="B507" s="6" t="s">
        <v>566</v>
      </c>
      <c r="C507" s="9">
        <v>138.68</v>
      </c>
      <c r="D507" s="6">
        <v>3</v>
      </c>
      <c r="E507" s="8">
        <v>0.04</v>
      </c>
      <c r="F507" s="49">
        <v>0</v>
      </c>
      <c r="G507" s="9">
        <v>0</v>
      </c>
      <c r="H507" s="9">
        <v>249</v>
      </c>
      <c r="I507" s="48">
        <v>0.12</v>
      </c>
      <c r="J507" s="78" cm="1">
        <f t="array" ref="J507">IF(H507&lt;12.5, H507/2,
IF(H507&lt;29, 6.25,
IF(H507&lt;50, 6.5,
IF(H507&lt;79, 6.75,
VALUE(SUBSTITUTE(
INDEX(RESUMO!$J$2:$J$100, MATCH(1,
(D507&gt;=RESUMO!$H$2:$H$100)*(D507&lt;=RESUMO!$I$2:$I$100)*(H507&gt;=RESUMO!$K$2:$K$100)*(H507&lt;=RESUMO!$L$2:$L$100),
0)), "R$ ", ""))
))))</f>
        <v>24.95</v>
      </c>
      <c r="K507" s="9">
        <v>0</v>
      </c>
      <c r="L507" s="10">
        <f t="shared" si="90"/>
        <v>0.20057349397590363</v>
      </c>
      <c r="M507" s="7"/>
      <c r="N507" s="48"/>
      <c r="O507" s="78" cm="1">
        <f t="array" ref="O507">IF(M507&lt;12.5, 0,
IF(M507&lt;29, 6.25,
IF(M507&lt;50, 6.5,
IF(M507&lt;79, 6.75,
VALUE(SUBSTITUTE(
INDEX(RESUMO!$J$2:$J$100, MATCH(1,
(D507&gt;=RESUMO!$H$2:$H$100)*(D507&lt;=RESUMO!$I$2:$I$100)*(M507&gt;=RESUMO!$K$2:$K$100)*(M507&lt;=RESUMO!$L$2:$L$100),
0)), "R$ ", ""))
))))</f>
        <v>0</v>
      </c>
      <c r="P507" s="9"/>
      <c r="Q507" s="10" t="e">
        <f t="shared" si="91"/>
        <v>#DIV/0!</v>
      </c>
      <c r="R507" s="5">
        <f t="shared" si="92"/>
        <v>188.62280000000001</v>
      </c>
      <c r="S507" s="5">
        <f t="shared" si="93"/>
        <v>49.942800000000005</v>
      </c>
      <c r="T507" s="5">
        <f t="shared" si="94"/>
        <v>-5.5472000000000001</v>
      </c>
      <c r="U507" s="5">
        <f t="shared" si="95"/>
        <v>-144.22720000000001</v>
      </c>
    </row>
    <row r="508" spans="1:21" x14ac:dyDescent="0.25">
      <c r="A508" s="11" t="s">
        <v>33</v>
      </c>
      <c r="B508" s="6" t="s">
        <v>567</v>
      </c>
      <c r="C508" s="9">
        <v>92.45</v>
      </c>
      <c r="D508" s="6">
        <v>2</v>
      </c>
      <c r="E508" s="8">
        <v>0.04</v>
      </c>
      <c r="F508" s="49">
        <v>0</v>
      </c>
      <c r="G508" s="9">
        <v>0</v>
      </c>
      <c r="H508" s="9">
        <v>175</v>
      </c>
      <c r="I508" s="48">
        <v>0.12</v>
      </c>
      <c r="J508" s="78" cm="1">
        <f t="array" ref="J508">IF(H508&lt;12.5, H508/2,
IF(H508&lt;29, 6.25,
IF(H508&lt;50, 6.5,
IF(H508&lt;79, 6.75,
VALUE(SUBSTITUTE(
INDEX(RESUMO!$J$2:$J$100, MATCH(1,
(D508&gt;=RESUMO!$H$2:$H$100)*(D508&lt;=RESUMO!$I$2:$I$100)*(H508&gt;=RESUMO!$K$2:$K$100)*(H508&lt;=RESUMO!$L$2:$L$100),
0)), "R$ ", ""))
))))</f>
        <v>21.1</v>
      </c>
      <c r="K508" s="9">
        <v>0</v>
      </c>
      <c r="L508" s="10">
        <f t="shared" si="90"/>
        <v>0.21001142857142854</v>
      </c>
      <c r="M508" s="7"/>
      <c r="N508" s="48"/>
      <c r="O508" s="78" cm="1">
        <f t="array" ref="O508">IF(M508&lt;12.5, 0,
IF(M508&lt;29, 6.25,
IF(M508&lt;50, 6.5,
IF(M508&lt;79, 6.75,
VALUE(SUBSTITUTE(
INDEX(RESUMO!$J$2:$J$100, MATCH(1,
(D508&gt;=RESUMO!$H$2:$H$100)*(D508&lt;=RESUMO!$I$2:$I$100)*(M508&gt;=RESUMO!$K$2:$K$100)*(M508&lt;=RESUMO!$L$2:$L$100),
0)), "R$ ", ""))
))))</f>
        <v>0</v>
      </c>
      <c r="P508" s="9"/>
      <c r="Q508" s="10" t="e">
        <f t="shared" si="91"/>
        <v>#DIV/0!</v>
      </c>
      <c r="R508" s="5">
        <f t="shared" si="92"/>
        <v>129.202</v>
      </c>
      <c r="S508" s="5">
        <f t="shared" si="93"/>
        <v>36.751999999999995</v>
      </c>
      <c r="T508" s="5">
        <f t="shared" si="94"/>
        <v>-3.6980000000000004</v>
      </c>
      <c r="U508" s="5">
        <f t="shared" si="95"/>
        <v>-96.147999999999996</v>
      </c>
    </row>
    <row r="509" spans="1:21" x14ac:dyDescent="0.25">
      <c r="A509" s="11" t="s">
        <v>33</v>
      </c>
      <c r="B509" s="6" t="s">
        <v>568</v>
      </c>
      <c r="C509" s="9">
        <v>104.77</v>
      </c>
      <c r="D509" s="6">
        <v>3</v>
      </c>
      <c r="E509" s="8">
        <v>0.04</v>
      </c>
      <c r="F509" s="49">
        <v>0</v>
      </c>
      <c r="G509" s="9">
        <v>0</v>
      </c>
      <c r="H509" s="9">
        <v>195</v>
      </c>
      <c r="I509" s="48">
        <v>0.12</v>
      </c>
      <c r="J509" s="78" cm="1">
        <f t="array" ref="J509">IF(H509&lt;12.5, H509/2,
IF(H509&lt;29, 6.25,
IF(H509&lt;50, 6.5,
IF(H509&lt;79, 6.75,
VALUE(SUBSTITUTE(
INDEX(RESUMO!$J$2:$J$100, MATCH(1,
(D509&gt;=RESUMO!$H$2:$H$100)*(D509&lt;=RESUMO!$I$2:$I$100)*(H509&gt;=RESUMO!$K$2:$K$100)*(H509&lt;=RESUMO!$L$2:$L$100),
0)), "R$ ", ""))
))))</f>
        <v>22.45</v>
      </c>
      <c r="K509" s="9">
        <v>0</v>
      </c>
      <c r="L509" s="10">
        <f t="shared" si="90"/>
        <v>0.20609846153846162</v>
      </c>
      <c r="M509" s="7"/>
      <c r="N509" s="48"/>
      <c r="O509" s="78" cm="1">
        <f t="array" ref="O509">IF(M509&lt;12.5, 0,
IF(M509&lt;29, 6.25,
IF(M509&lt;50, 6.5,
IF(M509&lt;79, 6.75,
VALUE(SUBSTITUTE(
INDEX(RESUMO!$J$2:$J$100, MATCH(1,
(D509&gt;=RESUMO!$H$2:$H$100)*(D509&lt;=RESUMO!$I$2:$I$100)*(M509&gt;=RESUMO!$K$2:$K$100)*(M509&lt;=RESUMO!$L$2:$L$100),
0)), "R$ ", ""))
))))</f>
        <v>0</v>
      </c>
      <c r="P509" s="9"/>
      <c r="Q509" s="10" t="e">
        <f t="shared" si="91"/>
        <v>#DIV/0!</v>
      </c>
      <c r="R509" s="5">
        <f t="shared" si="92"/>
        <v>144.95920000000001</v>
      </c>
      <c r="S509" s="5">
        <f t="shared" si="93"/>
        <v>40.189200000000014</v>
      </c>
      <c r="T509" s="5">
        <f t="shared" si="94"/>
        <v>-4.1908000000000003</v>
      </c>
      <c r="U509" s="5">
        <f t="shared" si="95"/>
        <v>-108.96079999999999</v>
      </c>
    </row>
    <row r="510" spans="1:21" x14ac:dyDescent="0.25">
      <c r="A510" s="11" t="s">
        <v>33</v>
      </c>
      <c r="B510" s="6" t="s">
        <v>569</v>
      </c>
      <c r="C510" s="9">
        <v>130.44999999999999</v>
      </c>
      <c r="D510" s="6">
        <v>2</v>
      </c>
      <c r="E510" s="8">
        <v>0.04</v>
      </c>
      <c r="F510" s="49">
        <v>0</v>
      </c>
      <c r="G510" s="9">
        <v>0</v>
      </c>
      <c r="H510" s="9">
        <v>235</v>
      </c>
      <c r="I510" s="48">
        <v>0.12</v>
      </c>
      <c r="J510" s="78" cm="1">
        <f t="array" ref="J510">IF(H510&lt;12.5, H510/2,
IF(H510&lt;29, 6.25,
IF(H510&lt;50, 6.5,
IF(H510&lt;79, 6.75,
VALUE(SUBSTITUTE(
INDEX(RESUMO!$J$2:$J$100, MATCH(1,
(D510&gt;=RESUMO!$H$2:$H$100)*(D510&lt;=RESUMO!$I$2:$I$100)*(H510&gt;=RESUMO!$K$2:$K$100)*(H510&lt;=RESUMO!$L$2:$L$100),
0)), "R$ ", ""))
))))</f>
        <v>23.45</v>
      </c>
      <c r="K510" s="9">
        <v>0</v>
      </c>
      <c r="L510" s="10">
        <f t="shared" si="90"/>
        <v>0.20290212765957466</v>
      </c>
      <c r="M510" s="7"/>
      <c r="N510" s="48"/>
      <c r="O510" s="78" cm="1">
        <f t="array" ref="O510">IF(M510&lt;12.5, 0,
IF(M510&lt;29, 6.25,
IF(M510&lt;50, 6.5,
IF(M510&lt;79, 6.75,
VALUE(SUBSTITUTE(
INDEX(RESUMO!$J$2:$J$100, MATCH(1,
(D510&gt;=RESUMO!$H$2:$H$100)*(D510&lt;=RESUMO!$I$2:$I$100)*(M510&gt;=RESUMO!$K$2:$K$100)*(M510&lt;=RESUMO!$L$2:$L$100),
0)), "R$ ", ""))
))))</f>
        <v>0</v>
      </c>
      <c r="P510" s="9"/>
      <c r="Q510" s="10" t="e">
        <f t="shared" si="91"/>
        <v>#DIV/0!</v>
      </c>
      <c r="R510" s="5">
        <f t="shared" si="92"/>
        <v>178.13200000000003</v>
      </c>
      <c r="S510" s="5">
        <f t="shared" si="93"/>
        <v>47.682000000000045</v>
      </c>
      <c r="T510" s="5">
        <f t="shared" si="94"/>
        <v>-5.218</v>
      </c>
      <c r="U510" s="5">
        <f t="shared" si="95"/>
        <v>-135.66799999999998</v>
      </c>
    </row>
    <row r="511" spans="1:21" x14ac:dyDescent="0.25">
      <c r="A511" s="11" t="s">
        <v>33</v>
      </c>
      <c r="B511" s="6" t="s">
        <v>570</v>
      </c>
      <c r="C511" s="9">
        <v>116.29</v>
      </c>
      <c r="D511" s="6">
        <v>2</v>
      </c>
      <c r="E511" s="8">
        <v>0.04</v>
      </c>
      <c r="F511" s="49">
        <v>0</v>
      </c>
      <c r="G511" s="9">
        <v>0</v>
      </c>
      <c r="H511" s="9">
        <v>215</v>
      </c>
      <c r="I511" s="48">
        <v>0.12</v>
      </c>
      <c r="J511" s="78" cm="1">
        <f t="array" ref="J511">IF(H511&lt;12.5, H511/2,
IF(H511&lt;29, 6.25,
IF(H511&lt;50, 6.5,
IF(H511&lt;79, 6.75,
VALUE(SUBSTITUTE(
INDEX(RESUMO!$J$2:$J$100, MATCH(1,
(D511&gt;=RESUMO!$H$2:$H$100)*(D511&lt;=RESUMO!$I$2:$I$100)*(H511&gt;=RESUMO!$K$2:$K$100)*(H511&lt;=RESUMO!$L$2:$L$100),
0)), "R$ ", ""))
))))</f>
        <v>23.45</v>
      </c>
      <c r="K511" s="9">
        <v>0</v>
      </c>
      <c r="L511" s="10">
        <f t="shared" si="90"/>
        <v>0.20841116279069763</v>
      </c>
      <c r="M511" s="7"/>
      <c r="N511" s="48"/>
      <c r="O511" s="78" cm="1">
        <f t="array" ref="O511">IF(M511&lt;12.5, 0,
IF(M511&lt;29, 6.25,
IF(M511&lt;50, 6.5,
IF(M511&lt;79, 6.75,
VALUE(SUBSTITUTE(
INDEX(RESUMO!$J$2:$J$100, MATCH(1,
(D511&gt;=RESUMO!$H$2:$H$100)*(D511&lt;=RESUMO!$I$2:$I$100)*(M511&gt;=RESUMO!$K$2:$K$100)*(M511&lt;=RESUMO!$L$2:$L$100),
0)), "R$ ", ""))
))))</f>
        <v>0</v>
      </c>
      <c r="P511" s="9"/>
      <c r="Q511" s="10" t="e">
        <f t="shared" si="91"/>
        <v>#DIV/0!</v>
      </c>
      <c r="R511" s="5">
        <f t="shared" si="92"/>
        <v>161.0984</v>
      </c>
      <c r="S511" s="5">
        <f t="shared" si="93"/>
        <v>44.808399999999992</v>
      </c>
      <c r="T511" s="5">
        <f t="shared" si="94"/>
        <v>-4.6516000000000002</v>
      </c>
      <c r="U511" s="5">
        <f t="shared" si="95"/>
        <v>-120.94160000000001</v>
      </c>
    </row>
    <row r="512" spans="1:21" x14ac:dyDescent="0.25">
      <c r="A512" s="11" t="s">
        <v>33</v>
      </c>
      <c r="B512" s="6" t="s">
        <v>571</v>
      </c>
      <c r="C512" s="9">
        <v>116.29</v>
      </c>
      <c r="D512" s="6">
        <v>2</v>
      </c>
      <c r="E512" s="8">
        <v>0.04</v>
      </c>
      <c r="F512" s="49">
        <v>0</v>
      </c>
      <c r="G512" s="9">
        <v>0</v>
      </c>
      <c r="H512" s="9">
        <v>215</v>
      </c>
      <c r="I512" s="48">
        <v>0.12</v>
      </c>
      <c r="J512" s="78" cm="1">
        <f t="array" ref="J512">IF(H512&lt;12.5, H512/2,
IF(H512&lt;29, 6.25,
IF(H512&lt;50, 6.5,
IF(H512&lt;79, 6.75,
VALUE(SUBSTITUTE(
INDEX(RESUMO!$J$2:$J$100, MATCH(1,
(D512&gt;=RESUMO!$H$2:$H$100)*(D512&lt;=RESUMO!$I$2:$I$100)*(H512&gt;=RESUMO!$K$2:$K$100)*(H512&lt;=RESUMO!$L$2:$L$100),
0)), "R$ ", ""))
))))</f>
        <v>23.45</v>
      </c>
      <c r="K512" s="9">
        <v>0</v>
      </c>
      <c r="L512" s="10">
        <f t="shared" si="84"/>
        <v>0.20841116279069763</v>
      </c>
      <c r="M512" s="7"/>
      <c r="N512" s="48"/>
      <c r="O512" s="78" cm="1">
        <f t="array" ref="O512">IF(M512&lt;12.5, 0,
IF(M512&lt;29, 6.25,
IF(M512&lt;50, 6.5,
IF(M512&lt;79, 6.75,
VALUE(SUBSTITUTE(
INDEX(RESUMO!$J$2:$J$100, MATCH(1,
(D512&gt;=RESUMO!$H$2:$H$100)*(D512&lt;=RESUMO!$I$2:$I$100)*(M512&gt;=RESUMO!$K$2:$K$100)*(M512&lt;=RESUMO!$L$2:$L$100),
0)), "R$ ", ""))
))))</f>
        <v>0</v>
      </c>
      <c r="P512" s="9"/>
      <c r="Q512" s="10" t="e">
        <f t="shared" si="85"/>
        <v>#DIV/0!</v>
      </c>
      <c r="R512" s="5">
        <f t="shared" si="86"/>
        <v>161.0984</v>
      </c>
      <c r="S512" s="5">
        <f t="shared" si="87"/>
        <v>44.808399999999992</v>
      </c>
      <c r="T512" s="5">
        <f t="shared" si="88"/>
        <v>-4.6516000000000002</v>
      </c>
      <c r="U512" s="5">
        <f t="shared" si="89"/>
        <v>-120.94160000000001</v>
      </c>
    </row>
    <row r="513" spans="1:21" x14ac:dyDescent="0.25">
      <c r="A513" s="11" t="s">
        <v>33</v>
      </c>
      <c r="B513" s="6" t="s">
        <v>572</v>
      </c>
      <c r="C513" s="9">
        <v>118.13</v>
      </c>
      <c r="D513" s="6">
        <v>2</v>
      </c>
      <c r="E513" s="8">
        <v>0.04</v>
      </c>
      <c r="F513" s="49">
        <v>0</v>
      </c>
      <c r="G513" s="9">
        <v>0</v>
      </c>
      <c r="H513" s="9">
        <v>215</v>
      </c>
      <c r="I513" s="48">
        <v>0.12</v>
      </c>
      <c r="J513" s="78" cm="1">
        <f t="array" ref="J513">IF(H513&lt;12.5, H513/2,
IF(H513&lt;29, 6.25,
IF(H513&lt;50, 6.5,
IF(H513&lt;79, 6.75,
VALUE(SUBSTITUTE(
INDEX(RESUMO!$J$2:$J$100, MATCH(1,
(D513&gt;=RESUMO!$H$2:$H$100)*(D513&lt;=RESUMO!$I$2:$I$100)*(H513&gt;=RESUMO!$K$2:$K$100)*(H513&lt;=RESUMO!$L$2:$L$100),
0)), "R$ ", ""))
))))</f>
        <v>23.45</v>
      </c>
      <c r="K513" s="9">
        <v>0</v>
      </c>
      <c r="L513" s="10">
        <f t="shared" si="84"/>
        <v>0.19951069767441862</v>
      </c>
      <c r="M513" s="7"/>
      <c r="N513" s="48"/>
      <c r="O513" s="78" cm="1">
        <f t="array" ref="O513">IF(M513&lt;12.5, 0,
IF(M513&lt;29, 6.25,
IF(M513&lt;50, 6.5,
IF(M513&lt;79, 6.75,
VALUE(SUBSTITUTE(
INDEX(RESUMO!$J$2:$J$100, MATCH(1,
(D513&gt;=RESUMO!$H$2:$H$100)*(D513&lt;=RESUMO!$I$2:$I$100)*(M513&gt;=RESUMO!$K$2:$K$100)*(M513&lt;=RESUMO!$L$2:$L$100),
0)), "R$ ", ""))
))))</f>
        <v>0</v>
      </c>
      <c r="P513" s="9"/>
      <c r="Q513" s="10" t="e">
        <f t="shared" si="85"/>
        <v>#DIV/0!</v>
      </c>
      <c r="R513" s="5">
        <f t="shared" si="86"/>
        <v>161.0248</v>
      </c>
      <c r="S513" s="5">
        <f t="shared" si="87"/>
        <v>42.894800000000004</v>
      </c>
      <c r="T513" s="5">
        <f t="shared" si="88"/>
        <v>-4.7252000000000001</v>
      </c>
      <c r="U513" s="5">
        <f t="shared" si="89"/>
        <v>-122.8552</v>
      </c>
    </row>
    <row r="514" spans="1:21" x14ac:dyDescent="0.25">
      <c r="A514" s="11" t="s">
        <v>33</v>
      </c>
      <c r="B514" s="6" t="s">
        <v>573</v>
      </c>
      <c r="C514" s="9">
        <v>614.47</v>
      </c>
      <c r="D514" s="6">
        <v>40</v>
      </c>
      <c r="E514" s="8">
        <v>0.04</v>
      </c>
      <c r="F514" s="49">
        <v>0</v>
      </c>
      <c r="G514" s="9">
        <v>0</v>
      </c>
      <c r="H514" s="9">
        <v>1075</v>
      </c>
      <c r="I514" s="48">
        <v>0.11</v>
      </c>
      <c r="J514" s="78" cm="1">
        <f t="array" ref="J514">IF(H514&lt;12.5, H514/2,
IF(H514&lt;29, 6.25,
IF(H514&lt;50, 6.5,
IF(H514&lt;79, 6.75,
VALUE(SUBSTITUTE(
INDEX(RESUMO!$J$2:$J$100, MATCH(1,
(D514&gt;=RESUMO!$H$2:$H$100)*(D514&lt;=RESUMO!$I$2:$I$100)*(H514&gt;=RESUMO!$K$2:$K$100)*(H514&lt;=RESUMO!$L$2:$L$100),
0)), "R$ ", ""))
))))</f>
        <v>101.95</v>
      </c>
      <c r="K514" s="9">
        <v>0</v>
      </c>
      <c r="L514" s="10">
        <f t="shared" si="84"/>
        <v>0.20069879069767435</v>
      </c>
      <c r="M514" s="7"/>
      <c r="N514" s="48"/>
      <c r="O514" s="78" cm="1">
        <f t="array" ref="O514">IF(M514&lt;12.5, 0,
IF(M514&lt;29, 6.25,
IF(M514&lt;50, 6.5,
IF(M514&lt;79, 6.75,
VALUE(SUBSTITUTE(
INDEX(RESUMO!$J$2:$J$100, MATCH(1,
(D514&gt;=RESUMO!$H$2:$H$100)*(D514&lt;=RESUMO!$I$2:$I$100)*(M514&gt;=RESUMO!$K$2:$K$100)*(M514&lt;=RESUMO!$L$2:$L$100),
0)), "R$ ", ""))
))))</f>
        <v>0</v>
      </c>
      <c r="P514" s="9"/>
      <c r="Q514" s="10" t="e">
        <f t="shared" si="85"/>
        <v>#DIV/0!</v>
      </c>
      <c r="R514" s="5">
        <f t="shared" si="86"/>
        <v>830.22119999999995</v>
      </c>
      <c r="S514" s="5">
        <f t="shared" si="87"/>
        <v>215.75119999999993</v>
      </c>
      <c r="T514" s="5">
        <f t="shared" si="88"/>
        <v>-24.578800000000001</v>
      </c>
      <c r="U514" s="5">
        <f t="shared" si="89"/>
        <v>-639.04880000000003</v>
      </c>
    </row>
    <row r="515" spans="1:21" x14ac:dyDescent="0.25">
      <c r="A515" s="11" t="s">
        <v>33</v>
      </c>
      <c r="B515" s="6" t="s">
        <v>574</v>
      </c>
      <c r="C515" s="9">
        <v>709.2</v>
      </c>
      <c r="D515" s="6">
        <v>23</v>
      </c>
      <c r="E515" s="8">
        <v>0.04</v>
      </c>
      <c r="F515" s="49">
        <v>0</v>
      </c>
      <c r="G515" s="9">
        <v>0</v>
      </c>
      <c r="H515" s="9">
        <v>1199</v>
      </c>
      <c r="I515" s="48">
        <v>0.11</v>
      </c>
      <c r="J515" s="78" cm="1">
        <f t="array" ref="J515">IF(H515&lt;12.5, H515/2,
IF(H515&lt;29, 6.25,
IF(H515&lt;50, 6.5,
IF(H515&lt;79, 6.75,
VALUE(SUBSTITUTE(
INDEX(RESUMO!$J$2:$J$100, MATCH(1,
(D515&gt;=RESUMO!$H$2:$H$100)*(D515&lt;=RESUMO!$I$2:$I$100)*(H515&gt;=RESUMO!$K$2:$K$100)*(H515&lt;=RESUMO!$L$2:$L$100),
0)), "R$ ", ""))
))))</f>
        <v>85.95</v>
      </c>
      <c r="K515" s="9">
        <v>0</v>
      </c>
      <c r="L515" s="10">
        <f t="shared" si="84"/>
        <v>0.20316263552960781</v>
      </c>
      <c r="M515" s="7">
        <v>1299</v>
      </c>
      <c r="N515" s="48">
        <v>0.16</v>
      </c>
      <c r="O515" s="78" cm="1">
        <f t="array" ref="O515">IF(M515&lt;12.5, 0,
IF(M515&lt;29, 6.25,
IF(M515&lt;50, 6.5,
IF(M515&lt;79, 6.75,
VALUE(SUBSTITUTE(
INDEX(RESUMO!$J$2:$J$100, MATCH(1,
(D515&gt;=RESUMO!$H$2:$H$100)*(D515&lt;=RESUMO!$I$2:$I$100)*(M515&gt;=RESUMO!$K$2:$K$100)*(M515&lt;=RESUMO!$L$2:$L$100),
0)), "R$ ", ""))
))))</f>
        <v>85.95</v>
      </c>
      <c r="P515" s="9">
        <v>0</v>
      </c>
      <c r="Q515" s="10">
        <f t="shared" si="85"/>
        <v>0.2060369515011547</v>
      </c>
      <c r="R515" s="5">
        <f t="shared" si="86"/>
        <v>952.7919999999998</v>
      </c>
      <c r="S515" s="5">
        <f t="shared" si="87"/>
        <v>243.59199999999976</v>
      </c>
      <c r="T515" s="5">
        <f t="shared" si="88"/>
        <v>976.84199999999998</v>
      </c>
      <c r="U515" s="5">
        <f t="shared" si="89"/>
        <v>267.64199999999994</v>
      </c>
    </row>
    <row r="516" spans="1:21" x14ac:dyDescent="0.25">
      <c r="A516" s="11" t="s">
        <v>33</v>
      </c>
      <c r="B516" s="6" t="s">
        <v>575</v>
      </c>
      <c r="C516" s="9">
        <v>709.2</v>
      </c>
      <c r="D516" s="6">
        <v>23</v>
      </c>
      <c r="E516" s="8">
        <v>0.04</v>
      </c>
      <c r="F516" s="49">
        <v>0</v>
      </c>
      <c r="G516" s="9">
        <v>0</v>
      </c>
      <c r="H516" s="9">
        <v>1199</v>
      </c>
      <c r="I516" s="48">
        <v>0.11</v>
      </c>
      <c r="J516" s="78" cm="1">
        <f t="array" ref="J516">IF(H516&lt;12.5, H516/2,
IF(H516&lt;29, 6.25,
IF(H516&lt;50, 6.5,
IF(H516&lt;79, 6.75,
VALUE(SUBSTITUTE(
INDEX(RESUMO!$J$2:$J$100, MATCH(1,
(D516&gt;=RESUMO!$H$2:$H$100)*(D516&lt;=RESUMO!$I$2:$I$100)*(H516&gt;=RESUMO!$K$2:$K$100)*(H516&lt;=RESUMO!$L$2:$L$100),
0)), "R$ ", ""))
))))</f>
        <v>85.95</v>
      </c>
      <c r="K516" s="9">
        <v>0</v>
      </c>
      <c r="L516" s="10">
        <f t="shared" si="84"/>
        <v>0.20316263552960781</v>
      </c>
      <c r="M516" s="7"/>
      <c r="N516" s="48"/>
      <c r="O516" s="78" cm="1">
        <f t="array" ref="O516">IF(M516&lt;12.5, 0,
IF(M516&lt;29, 6.25,
IF(M516&lt;50, 6.5,
IF(M516&lt;79, 6.75,
VALUE(SUBSTITUTE(
INDEX(RESUMO!$J$2:$J$100, MATCH(1,
(D516&gt;=RESUMO!$H$2:$H$100)*(D516&lt;=RESUMO!$I$2:$I$100)*(M516&gt;=RESUMO!$K$2:$K$100)*(M516&lt;=RESUMO!$L$2:$L$100),
0)), "R$ ", ""))
))))</f>
        <v>0</v>
      </c>
      <c r="P516" s="9"/>
      <c r="Q516" s="10" t="e">
        <f t="shared" si="85"/>
        <v>#DIV/0!</v>
      </c>
      <c r="R516" s="5">
        <f t="shared" si="86"/>
        <v>952.7919999999998</v>
      </c>
      <c r="S516" s="5">
        <f t="shared" si="87"/>
        <v>243.59199999999976</v>
      </c>
      <c r="T516" s="5">
        <f t="shared" si="88"/>
        <v>-28.368000000000002</v>
      </c>
      <c r="U516" s="5">
        <f t="shared" si="89"/>
        <v>-737.5680000000001</v>
      </c>
    </row>
    <row r="517" spans="1:21" x14ac:dyDescent="0.25">
      <c r="A517" s="11" t="s">
        <v>33</v>
      </c>
      <c r="B517" s="6" t="s">
        <v>576</v>
      </c>
      <c r="C517" s="9">
        <v>282.49</v>
      </c>
      <c r="D517" s="6">
        <v>4</v>
      </c>
      <c r="E517" s="8">
        <v>0.04</v>
      </c>
      <c r="F517" s="49">
        <v>0</v>
      </c>
      <c r="G517" s="9">
        <v>0</v>
      </c>
      <c r="H517" s="9">
        <v>475</v>
      </c>
      <c r="I517" s="48">
        <v>0.12</v>
      </c>
      <c r="J517" s="78" cm="1">
        <f t="array" ref="J517">IF(H517&lt;12.5, H517/2,
IF(H517&lt;29, 6.25,
IF(H517&lt;50, 6.5,
IF(H517&lt;79, 6.75,
VALUE(SUBSTITUTE(
INDEX(RESUMO!$J$2:$J$100, MATCH(1,
(D517&gt;=RESUMO!$H$2:$H$100)*(D517&lt;=RESUMO!$I$2:$I$100)*(H517&gt;=RESUMO!$K$2:$K$100)*(H517&lt;=RESUMO!$L$2:$L$100),
0)), "R$ ", ""))
))))</f>
        <v>26.95</v>
      </c>
      <c r="K517" s="9">
        <v>0</v>
      </c>
      <c r="L517" s="10">
        <f t="shared" si="78"/>
        <v>0.20475873684210527</v>
      </c>
      <c r="M517" s="7"/>
      <c r="N517" s="48"/>
      <c r="O517" s="78" cm="1">
        <f t="array" ref="O517">IF(M517&lt;12.5, 0,
IF(M517&lt;29, 6.25,
IF(M517&lt;50, 6.5,
IF(M517&lt;79, 6.75,
VALUE(SUBSTITUTE(
INDEX(RESUMO!$J$2:$J$100, MATCH(1,
(D517&gt;=RESUMO!$H$2:$H$100)*(D517&lt;=RESUMO!$I$2:$I$100)*(M517&gt;=RESUMO!$K$2:$K$100)*(M517&lt;=RESUMO!$L$2:$L$100),
0)), "R$ ", ""))
))))</f>
        <v>0</v>
      </c>
      <c r="P517" s="9"/>
      <c r="Q517" s="10" t="e">
        <f t="shared" si="79"/>
        <v>#DIV/0!</v>
      </c>
      <c r="R517" s="5">
        <f t="shared" si="80"/>
        <v>379.75040000000001</v>
      </c>
      <c r="S517" s="5">
        <f t="shared" si="81"/>
        <v>97.260400000000004</v>
      </c>
      <c r="T517" s="5">
        <f t="shared" si="82"/>
        <v>-11.2996</v>
      </c>
      <c r="U517" s="5">
        <f t="shared" si="83"/>
        <v>-293.78960000000001</v>
      </c>
    </row>
    <row r="518" spans="1:21" x14ac:dyDescent="0.25">
      <c r="A518" s="11" t="s">
        <v>33</v>
      </c>
      <c r="B518" s="6" t="s">
        <v>577</v>
      </c>
      <c r="C518" s="9">
        <v>282.49</v>
      </c>
      <c r="D518" s="6">
        <v>4</v>
      </c>
      <c r="E518" s="8">
        <v>0.04</v>
      </c>
      <c r="F518" s="49">
        <v>0</v>
      </c>
      <c r="G518" s="9">
        <v>0</v>
      </c>
      <c r="H518" s="9">
        <v>475</v>
      </c>
      <c r="I518" s="48">
        <v>0.12</v>
      </c>
      <c r="J518" s="78" cm="1">
        <f t="array" ref="J518">IF(H518&lt;12.5, H518/2,
IF(H518&lt;29, 6.25,
IF(H518&lt;50, 6.5,
IF(H518&lt;79, 6.75,
VALUE(SUBSTITUTE(
INDEX(RESUMO!$J$2:$J$100, MATCH(1,
(D518&gt;=RESUMO!$H$2:$H$100)*(D518&lt;=RESUMO!$I$2:$I$100)*(H518&gt;=RESUMO!$K$2:$K$100)*(H518&lt;=RESUMO!$L$2:$L$100),
0)), "R$ ", ""))
))))</f>
        <v>26.95</v>
      </c>
      <c r="K518" s="9">
        <v>0</v>
      </c>
      <c r="L518" s="10">
        <f t="shared" si="78"/>
        <v>0.20475873684210527</v>
      </c>
      <c r="M518" s="7"/>
      <c r="N518" s="48"/>
      <c r="O518" s="78" cm="1">
        <f t="array" ref="O518">IF(M518&lt;12.5, 0,
IF(M518&lt;29, 6.25,
IF(M518&lt;50, 6.5,
IF(M518&lt;79, 6.75,
VALUE(SUBSTITUTE(
INDEX(RESUMO!$J$2:$J$100, MATCH(1,
(D518&gt;=RESUMO!$H$2:$H$100)*(D518&lt;=RESUMO!$I$2:$I$100)*(M518&gt;=RESUMO!$K$2:$K$100)*(M518&lt;=RESUMO!$L$2:$L$100),
0)), "R$ ", ""))
))))</f>
        <v>0</v>
      </c>
      <c r="P518" s="9"/>
      <c r="Q518" s="10" t="e">
        <f t="shared" si="79"/>
        <v>#DIV/0!</v>
      </c>
      <c r="R518" s="5">
        <f t="shared" si="80"/>
        <v>379.75040000000001</v>
      </c>
      <c r="S518" s="5">
        <f t="shared" si="81"/>
        <v>97.260400000000004</v>
      </c>
      <c r="T518" s="5">
        <f t="shared" si="82"/>
        <v>-11.2996</v>
      </c>
      <c r="U518" s="5">
        <f t="shared" si="83"/>
        <v>-293.78960000000001</v>
      </c>
    </row>
    <row r="519" spans="1:21" x14ac:dyDescent="0.25">
      <c r="A519" s="11" t="s">
        <v>25</v>
      </c>
      <c r="B519" s="6" t="s">
        <v>578</v>
      </c>
      <c r="C519" s="9">
        <v>353.1</v>
      </c>
      <c r="D519" s="6">
        <v>5</v>
      </c>
      <c r="E519" s="8">
        <v>0.04</v>
      </c>
      <c r="F519" s="49">
        <v>0</v>
      </c>
      <c r="G519" s="9">
        <v>0</v>
      </c>
      <c r="H519" s="9">
        <v>585</v>
      </c>
      <c r="I519" s="48">
        <v>0.12</v>
      </c>
      <c r="J519" s="78" cm="1">
        <f t="array" ref="J519">IF(H519&lt;12.5, H519/2,
IF(H519&lt;29, 6.25,
IF(H519&lt;50, 6.5,
IF(H519&lt;79, 6.75,
VALUE(SUBSTITUTE(
INDEX(RESUMO!$J$2:$J$100, MATCH(1,
(D519&gt;=RESUMO!$H$2:$H$100)*(D519&lt;=RESUMO!$I$2:$I$100)*(H519&gt;=RESUMO!$K$2:$K$100)*(H519&lt;=RESUMO!$L$2:$L$100),
0)), "R$ ", ""))
))))</f>
        <v>28.45</v>
      </c>
      <c r="K519" s="9">
        <v>0</v>
      </c>
      <c r="L519" s="10">
        <f t="shared" si="60"/>
        <v>0.2036341880341879</v>
      </c>
      <c r="M519" s="7"/>
      <c r="N519" s="48"/>
      <c r="O519" s="78" cm="1">
        <f t="array" ref="O519">IF(M519&lt;12.5, 0,
IF(M519&lt;29, 6.25,
IF(M519&lt;50, 6.5,
IF(M519&lt;79, 6.75,
VALUE(SUBSTITUTE(
INDEX(RESUMO!$J$2:$J$100, MATCH(1,
(D519&gt;=RESUMO!$H$2:$H$100)*(D519&lt;=RESUMO!$I$2:$I$100)*(M519&gt;=RESUMO!$K$2:$K$100)*(M519&lt;=RESUMO!$L$2:$L$100),
0)), "R$ ", ""))
))))</f>
        <v>0</v>
      </c>
      <c r="P519" s="9"/>
      <c r="Q519" s="10" t="e">
        <f t="shared" si="61"/>
        <v>#DIV/0!</v>
      </c>
      <c r="R519" s="5">
        <f t="shared" si="62"/>
        <v>472.22599999999994</v>
      </c>
      <c r="S519" s="5">
        <f t="shared" si="63"/>
        <v>119.12599999999992</v>
      </c>
      <c r="T519" s="5">
        <f t="shared" si="64"/>
        <v>-14.124000000000001</v>
      </c>
      <c r="U519" s="5">
        <f t="shared" si="65"/>
        <v>-367.22400000000005</v>
      </c>
    </row>
    <row r="520" spans="1:21" x14ac:dyDescent="0.25">
      <c r="A520" s="11" t="s">
        <v>33</v>
      </c>
      <c r="B520" s="6" t="s">
        <v>579</v>
      </c>
      <c r="C520" s="9">
        <v>140.85</v>
      </c>
      <c r="D520" s="6">
        <v>5</v>
      </c>
      <c r="E520" s="8">
        <v>0.04</v>
      </c>
      <c r="F520" s="49">
        <v>0</v>
      </c>
      <c r="G520" s="9">
        <v>0</v>
      </c>
      <c r="H520" s="9">
        <v>255</v>
      </c>
      <c r="I520" s="48">
        <v>0.11</v>
      </c>
      <c r="J520" s="78" cm="1">
        <f t="array" ref="J520">IF(H520&lt;12.5, H520/2,
IF(H520&lt;29, 6.25,
IF(H520&lt;50, 6.5,
IF(H520&lt;79, 6.75,
VALUE(SUBSTITUTE(
INDEX(RESUMO!$J$2:$J$100, MATCH(1,
(D520&gt;=RESUMO!$H$2:$H$100)*(D520&lt;=RESUMO!$I$2:$I$100)*(H520&gt;=RESUMO!$K$2:$K$100)*(H520&lt;=RESUMO!$L$2:$L$100),
0)), "R$ ", ""))
))))</f>
        <v>28.45</v>
      </c>
      <c r="K520" s="9">
        <v>0</v>
      </c>
      <c r="L520" s="10">
        <f t="shared" si="60"/>
        <v>0.20398431372549028</v>
      </c>
      <c r="M520" s="7"/>
      <c r="N520" s="48"/>
      <c r="O520" s="78" cm="1">
        <f t="array" ref="O520">IF(M520&lt;12.5, 0,
IF(M520&lt;29, 6.25,
IF(M520&lt;50, 6.5,
IF(M520&lt;79, 6.75,
VALUE(SUBSTITUTE(
INDEX(RESUMO!$J$2:$J$100, MATCH(1,
(D520&gt;=RESUMO!$H$2:$H$100)*(D520&lt;=RESUMO!$I$2:$I$100)*(M520&gt;=RESUMO!$K$2:$K$100)*(M520&lt;=RESUMO!$L$2:$L$100),
0)), "R$ ", ""))
))))</f>
        <v>0</v>
      </c>
      <c r="P520" s="9"/>
      <c r="Q520" s="10" t="e">
        <f t="shared" si="61"/>
        <v>#DIV/0!</v>
      </c>
      <c r="R520" s="5">
        <f t="shared" si="62"/>
        <v>192.86600000000001</v>
      </c>
      <c r="S520" s="5">
        <f t="shared" si="63"/>
        <v>52.01600000000002</v>
      </c>
      <c r="T520" s="5">
        <f t="shared" si="64"/>
        <v>-5.6339999999999995</v>
      </c>
      <c r="U520" s="5">
        <f t="shared" si="65"/>
        <v>-146.48399999999998</v>
      </c>
    </row>
    <row r="521" spans="1:21" x14ac:dyDescent="0.25">
      <c r="A521" s="11" t="s">
        <v>33</v>
      </c>
      <c r="B521" s="6" t="s">
        <v>580</v>
      </c>
      <c r="C521" s="9">
        <v>108.82</v>
      </c>
      <c r="D521" s="6">
        <v>3</v>
      </c>
      <c r="E521" s="8">
        <v>0.04</v>
      </c>
      <c r="F521" s="49">
        <v>0</v>
      </c>
      <c r="G521" s="9">
        <v>0</v>
      </c>
      <c r="H521" s="9">
        <v>199.9</v>
      </c>
      <c r="I521" s="48">
        <v>0.11</v>
      </c>
      <c r="J521" s="78" cm="1">
        <f t="array" ref="J521">IF(H521&lt;12.5, H521/2,
IF(H521&lt;29, 6.25,
IF(H521&lt;50, 6.5,
IF(H521&lt;79, 6.75,
VALUE(SUBSTITUTE(
INDEX(RESUMO!$J$2:$J$100, MATCH(1,
(D521&gt;=RESUMO!$H$2:$H$100)*(D521&lt;=RESUMO!$I$2:$I$100)*(H521&gt;=RESUMO!$K$2:$K$100)*(H521&lt;=RESUMO!$L$2:$L$100),
0)), "R$ ", ""))
))))</f>
        <v>22.45</v>
      </c>
      <c r="K521" s="9">
        <v>0</v>
      </c>
      <c r="L521" s="10">
        <f t="shared" si="60"/>
        <v>0.21154677338669342</v>
      </c>
      <c r="M521" s="7"/>
      <c r="N521" s="48"/>
      <c r="O521" s="78" cm="1">
        <f t="array" ref="O521">IF(M521&lt;12.5, 0,
IF(M521&lt;29, 6.25,
IF(M521&lt;50, 6.5,
IF(M521&lt;79, 6.75,
VALUE(SUBSTITUTE(
INDEX(RESUMO!$J$2:$J$100, MATCH(1,
(D521&gt;=RESUMO!$H$2:$H$100)*(D521&lt;=RESUMO!$I$2:$I$100)*(M521&gt;=RESUMO!$K$2:$K$100)*(M521&lt;=RESUMO!$L$2:$L$100),
0)), "R$ ", ""))
))))</f>
        <v>0</v>
      </c>
      <c r="P521" s="9"/>
      <c r="Q521" s="10" t="e">
        <f t="shared" si="61"/>
        <v>#DIV/0!</v>
      </c>
      <c r="R521" s="5">
        <f t="shared" si="62"/>
        <v>151.10820000000001</v>
      </c>
      <c r="S521" s="5">
        <f t="shared" si="63"/>
        <v>42.288200000000018</v>
      </c>
      <c r="T521" s="5">
        <f t="shared" si="64"/>
        <v>-4.3528000000000002</v>
      </c>
      <c r="U521" s="5">
        <f t="shared" si="65"/>
        <v>-113.1728</v>
      </c>
    </row>
    <row r="522" spans="1:21" x14ac:dyDescent="0.25">
      <c r="A522" s="11" t="s">
        <v>25</v>
      </c>
      <c r="B522" s="6" t="s">
        <v>581</v>
      </c>
      <c r="C522" s="9">
        <v>279.64999999999998</v>
      </c>
      <c r="D522" s="6">
        <v>9</v>
      </c>
      <c r="E522" s="8">
        <v>0.04</v>
      </c>
      <c r="F522" s="49">
        <v>0</v>
      </c>
      <c r="G522" s="9">
        <v>0</v>
      </c>
      <c r="H522" s="9">
        <v>485</v>
      </c>
      <c r="I522" s="48">
        <v>0.11</v>
      </c>
      <c r="J522" s="78" cm="1">
        <f t="array" ref="J522">IF(H522&lt;12.5, H522/2,
IF(H522&lt;29, 6.25,
IF(H522&lt;50, 6.5,
IF(H522&lt;79, 6.75,
VALUE(SUBSTITUTE(
INDEX(RESUMO!$J$2:$J$100, MATCH(1,
(D522&gt;=RESUMO!$H$2:$H$100)*(D522&lt;=RESUMO!$I$2:$I$100)*(H522&gt;=RESUMO!$K$2:$K$100)*(H522&lt;=RESUMO!$L$2:$L$100),
0)), "R$ ", ""))
))))</f>
        <v>44.45</v>
      </c>
      <c r="K522" s="9">
        <v>0</v>
      </c>
      <c r="L522" s="10">
        <f t="shared" si="60"/>
        <v>0.1986886597938145</v>
      </c>
      <c r="M522" s="7"/>
      <c r="N522" s="48"/>
      <c r="O522" s="78" cm="1">
        <f t="array" ref="O522">IF(M522&lt;12.5, 0,
IF(M522&lt;29, 6.25,
IF(M522&lt;50, 6.5,
IF(M522&lt;79, 6.75,
VALUE(SUBSTITUTE(
INDEX(RESUMO!$J$2:$J$100, MATCH(1,
(D522&gt;=RESUMO!$H$2:$H$100)*(D522&lt;=RESUMO!$I$2:$I$100)*(M522&gt;=RESUMO!$K$2:$K$100)*(M522&lt;=RESUMO!$L$2:$L$100),
0)), "R$ ", ""))
))))</f>
        <v>0</v>
      </c>
      <c r="P522" s="9"/>
      <c r="Q522" s="10" t="e">
        <f t="shared" si="61"/>
        <v>#DIV/0!</v>
      </c>
      <c r="R522" s="5">
        <f t="shared" si="62"/>
        <v>376.01400000000001</v>
      </c>
      <c r="S522" s="5">
        <f t="shared" si="63"/>
        <v>96.364000000000033</v>
      </c>
      <c r="T522" s="5">
        <f t="shared" si="64"/>
        <v>-11.186</v>
      </c>
      <c r="U522" s="5">
        <f t="shared" si="65"/>
        <v>-290.83599999999996</v>
      </c>
    </row>
    <row r="523" spans="1:21" x14ac:dyDescent="0.25">
      <c r="A523" s="11" t="s">
        <v>33</v>
      </c>
      <c r="B523" s="6" t="s">
        <v>582</v>
      </c>
      <c r="C523" s="9">
        <v>279.64999999999998</v>
      </c>
      <c r="D523" s="6">
        <v>9</v>
      </c>
      <c r="E523" s="8">
        <v>0.04</v>
      </c>
      <c r="F523" s="49">
        <v>0</v>
      </c>
      <c r="G523" s="9">
        <v>0</v>
      </c>
      <c r="H523" s="9">
        <v>485</v>
      </c>
      <c r="I523" s="48">
        <v>0.11</v>
      </c>
      <c r="J523" s="78" cm="1">
        <f t="array" ref="J523">IF(H523&lt;12.5, H523/2,
IF(H523&lt;29, 6.25,
IF(H523&lt;50, 6.5,
IF(H523&lt;79, 6.75,
VALUE(SUBSTITUTE(
INDEX(RESUMO!$J$2:$J$100, MATCH(1,
(D523&gt;=RESUMO!$H$2:$H$100)*(D523&lt;=RESUMO!$I$2:$I$100)*(H523&gt;=RESUMO!$K$2:$K$100)*(H523&lt;=RESUMO!$L$2:$L$100),
0)), "R$ ", ""))
))))</f>
        <v>44.45</v>
      </c>
      <c r="K523" s="9">
        <v>0</v>
      </c>
      <c r="L523" s="10">
        <f t="shared" si="60"/>
        <v>0.1986886597938145</v>
      </c>
      <c r="M523" s="7"/>
      <c r="N523" s="48"/>
      <c r="O523" s="78" cm="1">
        <f t="array" ref="O523">IF(M523&lt;12.5, 0,
IF(M523&lt;29, 6.25,
IF(M523&lt;50, 6.5,
IF(M523&lt;79, 6.75,
VALUE(SUBSTITUTE(
INDEX(RESUMO!$J$2:$J$100, MATCH(1,
(D523&gt;=RESUMO!$H$2:$H$100)*(D523&lt;=RESUMO!$I$2:$I$100)*(M523&gt;=RESUMO!$K$2:$K$100)*(M523&lt;=RESUMO!$L$2:$L$100),
0)), "R$ ", ""))
))))</f>
        <v>0</v>
      </c>
      <c r="P523" s="9"/>
      <c r="Q523" s="10" t="e">
        <f t="shared" si="61"/>
        <v>#DIV/0!</v>
      </c>
      <c r="R523" s="5">
        <f t="shared" si="62"/>
        <v>376.01400000000001</v>
      </c>
      <c r="S523" s="5">
        <f t="shared" si="63"/>
        <v>96.364000000000033</v>
      </c>
      <c r="T523" s="5">
        <f t="shared" si="64"/>
        <v>-11.186</v>
      </c>
      <c r="U523" s="5">
        <f t="shared" si="65"/>
        <v>-290.83599999999996</v>
      </c>
    </row>
    <row r="524" spans="1:21" x14ac:dyDescent="0.25">
      <c r="A524" s="11" t="s">
        <v>33</v>
      </c>
      <c r="B524" s="6" t="s">
        <v>583</v>
      </c>
      <c r="C524" s="9">
        <v>453.94</v>
      </c>
      <c r="D524" s="6"/>
      <c r="E524" s="8">
        <v>0.04</v>
      </c>
      <c r="F524" s="49">
        <v>0</v>
      </c>
      <c r="G524" s="9">
        <v>0</v>
      </c>
      <c r="H524" s="9"/>
      <c r="I524" s="48"/>
      <c r="J524" s="78" cm="1">
        <f t="array" ref="J524">IF(H524&lt;12.5, H524/2,
IF(H524&lt;29, 6.25,
IF(H524&lt;50, 6.5,
IF(H524&lt;79, 6.75,
VALUE(SUBSTITUTE(
INDEX(RESUMO!$J$2:$J$100, MATCH(1,
(D524&gt;=RESUMO!$H$2:$H$100)*(D524&lt;=RESUMO!$I$2:$I$100)*(H524&gt;=RESUMO!$K$2:$K$100)*(H524&lt;=RESUMO!$L$2:$L$100),
0)), "R$ ", ""))
))))</f>
        <v>0</v>
      </c>
      <c r="K524" s="9"/>
      <c r="L524" s="10" t="e">
        <f t="shared" si="60"/>
        <v>#DIV/0!</v>
      </c>
      <c r="M524" s="7"/>
      <c r="N524" s="48"/>
      <c r="O524" s="78" cm="1">
        <f t="array" ref="O524">IF(M524&lt;12.5, 0,
IF(M524&lt;29, 6.25,
IF(M524&lt;50, 6.5,
IF(M524&lt;79, 6.75,
VALUE(SUBSTITUTE(
INDEX(RESUMO!$J$2:$J$100, MATCH(1,
(D524&gt;=RESUMO!$H$2:$H$100)*(D524&lt;=RESUMO!$I$2:$I$100)*(M524&gt;=RESUMO!$K$2:$K$100)*(M524&lt;=RESUMO!$L$2:$L$100),
0)), "R$ ", ""))
))))</f>
        <v>0</v>
      </c>
      <c r="P524" s="9"/>
      <c r="Q524" s="10" t="e">
        <f t="shared" si="61"/>
        <v>#DIV/0!</v>
      </c>
      <c r="R524" s="5">
        <f t="shared" si="62"/>
        <v>-18.157599999999999</v>
      </c>
      <c r="S524" s="5">
        <f t="shared" si="63"/>
        <v>-472.0976</v>
      </c>
      <c r="T524" s="5">
        <f t="shared" si="64"/>
        <v>-18.157599999999999</v>
      </c>
      <c r="U524" s="5">
        <f t="shared" si="65"/>
        <v>-472.0976</v>
      </c>
    </row>
    <row r="525" spans="1:21" x14ac:dyDescent="0.25">
      <c r="A525" s="11" t="s">
        <v>33</v>
      </c>
      <c r="B525" s="6" t="s">
        <v>584</v>
      </c>
      <c r="C525" s="9">
        <v>453.94</v>
      </c>
      <c r="D525" s="6"/>
      <c r="E525" s="8">
        <v>0.04</v>
      </c>
      <c r="F525" s="49">
        <v>0</v>
      </c>
      <c r="G525" s="9">
        <v>0</v>
      </c>
      <c r="H525" s="9"/>
      <c r="I525" s="48"/>
      <c r="J525" s="78" cm="1">
        <f t="array" ref="J525">IF(H525&lt;12.5, H525/2,
IF(H525&lt;29, 6.25,
IF(H525&lt;50, 6.5,
IF(H525&lt;79, 6.75,
VALUE(SUBSTITUTE(
INDEX(RESUMO!$J$2:$J$100, MATCH(1,
(D525&gt;=RESUMO!$H$2:$H$100)*(D525&lt;=RESUMO!$I$2:$I$100)*(H525&gt;=RESUMO!$K$2:$K$100)*(H525&lt;=RESUMO!$L$2:$L$100),
0)), "R$ ", ""))
))))</f>
        <v>0</v>
      </c>
      <c r="K525" s="9"/>
      <c r="L525" s="10" t="e">
        <f t="shared" si="60"/>
        <v>#DIV/0!</v>
      </c>
      <c r="M525" s="7"/>
      <c r="N525" s="48"/>
      <c r="O525" s="78" cm="1">
        <f t="array" ref="O525">IF(M525&lt;12.5, 0,
IF(M525&lt;29, 6.25,
IF(M525&lt;50, 6.5,
IF(M525&lt;79, 6.75,
VALUE(SUBSTITUTE(
INDEX(RESUMO!$J$2:$J$100, MATCH(1,
(D525&gt;=RESUMO!$H$2:$H$100)*(D525&lt;=RESUMO!$I$2:$I$100)*(M525&gt;=RESUMO!$K$2:$K$100)*(M525&lt;=RESUMO!$L$2:$L$100),
0)), "R$ ", ""))
))))</f>
        <v>0</v>
      </c>
      <c r="P525" s="9"/>
      <c r="Q525" s="10" t="e">
        <f t="shared" si="61"/>
        <v>#DIV/0!</v>
      </c>
      <c r="R525" s="5">
        <f t="shared" si="62"/>
        <v>-18.157599999999999</v>
      </c>
      <c r="S525" s="5">
        <f t="shared" si="63"/>
        <v>-472.0976</v>
      </c>
      <c r="T525" s="5">
        <f t="shared" si="64"/>
        <v>-18.157599999999999</v>
      </c>
      <c r="U525" s="5">
        <f t="shared" si="65"/>
        <v>-472.0976</v>
      </c>
    </row>
    <row r="526" spans="1:21" x14ac:dyDescent="0.25">
      <c r="A526" s="11" t="s">
        <v>25</v>
      </c>
      <c r="B526" s="6" t="s">
        <v>585</v>
      </c>
      <c r="C526" s="9">
        <v>110.97</v>
      </c>
      <c r="D526" s="6">
        <v>3</v>
      </c>
      <c r="E526" s="8">
        <v>0.04</v>
      </c>
      <c r="F526" s="49">
        <v>0</v>
      </c>
      <c r="G526" s="9">
        <v>0</v>
      </c>
      <c r="H526" s="9">
        <v>199.9</v>
      </c>
      <c r="I526" s="48">
        <v>0.11</v>
      </c>
      <c r="J526" s="78">
        <v>22.45</v>
      </c>
      <c r="K526" s="9">
        <v>0</v>
      </c>
      <c r="L526" s="10">
        <f t="shared" si="60"/>
        <v>0.20036118059029528</v>
      </c>
      <c r="M526" s="7"/>
      <c r="N526" s="48"/>
      <c r="O526" s="78" cm="1">
        <f t="array" ref="O526">IF(M526&lt;12.5, 0,
IF(M526&lt;29, 6.25,
IF(M526&lt;50, 6.5,
IF(M526&lt;79, 6.75,
VALUE(SUBSTITUTE(
INDEX(RESUMO!$J$2:$J$100, MATCH(1,
(D526&gt;=RESUMO!$H$2:$H$100)*(D526&lt;=RESUMO!$I$2:$I$100)*(M526&gt;=RESUMO!$K$2:$K$100)*(M526&lt;=RESUMO!$L$2:$L$100),
0)), "R$ ", ""))
))))</f>
        <v>0</v>
      </c>
      <c r="P526" s="9"/>
      <c r="Q526" s="10" t="e">
        <f t="shared" si="61"/>
        <v>#DIV/0!</v>
      </c>
      <c r="R526" s="5">
        <f t="shared" si="62"/>
        <v>151.02220000000003</v>
      </c>
      <c r="S526" s="5">
        <f t="shared" si="63"/>
        <v>40.052200000000028</v>
      </c>
      <c r="T526" s="5">
        <f t="shared" si="64"/>
        <v>-4.4387999999999996</v>
      </c>
      <c r="U526" s="5">
        <f t="shared" si="65"/>
        <v>-115.4088</v>
      </c>
    </row>
    <row r="527" spans="1:21" x14ac:dyDescent="0.25">
      <c r="A527" s="11" t="s">
        <v>25</v>
      </c>
      <c r="B527" s="6" t="s">
        <v>586</v>
      </c>
      <c r="C527" s="9">
        <v>110.97</v>
      </c>
      <c r="D527" s="6">
        <v>3</v>
      </c>
      <c r="E527" s="8">
        <v>0.04</v>
      </c>
      <c r="F527" s="49">
        <v>0</v>
      </c>
      <c r="G527" s="9">
        <v>0</v>
      </c>
      <c r="H527" s="9">
        <v>199.9</v>
      </c>
      <c r="I527" s="48">
        <v>0.11</v>
      </c>
      <c r="J527" s="78">
        <v>22.45</v>
      </c>
      <c r="K527" s="9">
        <v>0</v>
      </c>
      <c r="L527" s="10">
        <f t="shared" si="60"/>
        <v>0.20036118059029528</v>
      </c>
      <c r="M527" s="7"/>
      <c r="N527" s="48"/>
      <c r="O527" s="78" cm="1">
        <f t="array" ref="O527">IF(M527&lt;12.5, 0,
IF(M527&lt;29, 6.25,
IF(M527&lt;50, 6.5,
IF(M527&lt;79, 6.75,
VALUE(SUBSTITUTE(
INDEX(RESUMO!$J$2:$J$100, MATCH(1,
(D527&gt;=RESUMO!$H$2:$H$100)*(D527&lt;=RESUMO!$I$2:$I$100)*(M527&gt;=RESUMO!$K$2:$K$100)*(M527&lt;=RESUMO!$L$2:$L$100),
0)), "R$ ", ""))
))))</f>
        <v>0</v>
      </c>
      <c r="P527" s="9"/>
      <c r="Q527" s="10" t="e">
        <f t="shared" si="61"/>
        <v>#DIV/0!</v>
      </c>
      <c r="R527" s="5">
        <f t="shared" si="62"/>
        <v>151.02220000000003</v>
      </c>
      <c r="S527" s="5">
        <f t="shared" si="63"/>
        <v>40.052200000000028</v>
      </c>
      <c r="T527" s="5">
        <f t="shared" si="64"/>
        <v>-4.4387999999999996</v>
      </c>
      <c r="U527" s="5">
        <f t="shared" si="65"/>
        <v>-115.4088</v>
      </c>
    </row>
    <row r="528" spans="1:21" x14ac:dyDescent="0.25">
      <c r="A528" s="11" t="s">
        <v>33</v>
      </c>
      <c r="B528" s="6" t="s">
        <v>587</v>
      </c>
      <c r="C528" s="9">
        <v>108.82</v>
      </c>
      <c r="D528" s="6">
        <v>3</v>
      </c>
      <c r="E528" s="8">
        <v>0.04</v>
      </c>
      <c r="F528" s="49">
        <v>0</v>
      </c>
      <c r="G528" s="9">
        <v>0</v>
      </c>
      <c r="H528" s="9">
        <v>199.9</v>
      </c>
      <c r="I528" s="48">
        <v>0.11</v>
      </c>
      <c r="J528" s="78" cm="1">
        <f t="array" ref="J528">IF(H528&lt;12.5, H528/2,
IF(H528&lt;29, 6.25,
IF(H528&lt;50, 6.5,
IF(H528&lt;79, 6.75,
VALUE(SUBSTITUTE(
INDEX(RESUMO!$J$2:$J$100, MATCH(1,
(D528&gt;=RESUMO!$H$2:$H$100)*(D528&lt;=RESUMO!$I$2:$I$100)*(H528&gt;=RESUMO!$K$2:$K$100)*(H528&lt;=RESUMO!$L$2:$L$100),
0)), "R$ ", ""))
))))</f>
        <v>22.45</v>
      </c>
      <c r="K528" s="9">
        <v>0</v>
      </c>
      <c r="L528" s="10">
        <f t="shared" si="60"/>
        <v>0.21154677338669342</v>
      </c>
      <c r="M528" s="7"/>
      <c r="N528" s="48"/>
      <c r="O528" s="78" cm="1">
        <f t="array" ref="O528">IF(M528&lt;12.5, 0,
IF(M528&lt;29, 6.25,
IF(M528&lt;50, 6.5,
IF(M528&lt;79, 6.75,
VALUE(SUBSTITUTE(
INDEX(RESUMO!$J$2:$J$100, MATCH(1,
(D528&gt;=RESUMO!$H$2:$H$100)*(D528&lt;=RESUMO!$I$2:$I$100)*(M528&gt;=RESUMO!$K$2:$K$100)*(M528&lt;=RESUMO!$L$2:$L$100),
0)), "R$ ", ""))
))))</f>
        <v>0</v>
      </c>
      <c r="P528" s="9"/>
      <c r="Q528" s="10" t="e">
        <f t="shared" si="61"/>
        <v>#DIV/0!</v>
      </c>
      <c r="R528" s="5">
        <f t="shared" si="62"/>
        <v>151.10820000000001</v>
      </c>
      <c r="S528" s="5">
        <f t="shared" si="63"/>
        <v>42.288200000000018</v>
      </c>
      <c r="T528" s="5">
        <f t="shared" si="64"/>
        <v>-4.3528000000000002</v>
      </c>
      <c r="U528" s="5">
        <f t="shared" si="65"/>
        <v>-113.1728</v>
      </c>
    </row>
    <row r="529" spans="1:21" x14ac:dyDescent="0.25">
      <c r="A529" s="11" t="s">
        <v>33</v>
      </c>
      <c r="B529" s="6" t="s">
        <v>588</v>
      </c>
      <c r="C529" s="9">
        <v>108.82</v>
      </c>
      <c r="D529" s="6">
        <v>3</v>
      </c>
      <c r="E529" s="8">
        <v>0.04</v>
      </c>
      <c r="F529" s="49">
        <v>0</v>
      </c>
      <c r="G529" s="9">
        <v>0</v>
      </c>
      <c r="H529" s="9">
        <v>199.9</v>
      </c>
      <c r="I529" s="48">
        <v>0.11</v>
      </c>
      <c r="J529" s="78" cm="1">
        <f t="array" ref="J529">IF(H529&lt;12.5, H529/2,
IF(H529&lt;29, 6.25,
IF(H529&lt;50, 6.5,
IF(H529&lt;79, 6.75,
VALUE(SUBSTITUTE(
INDEX(RESUMO!$J$2:$J$100, MATCH(1,
(D529&gt;=RESUMO!$H$2:$H$100)*(D529&lt;=RESUMO!$I$2:$I$100)*(H529&gt;=RESUMO!$K$2:$K$100)*(H529&lt;=RESUMO!$L$2:$L$100),
0)), "R$ ", ""))
))))</f>
        <v>22.45</v>
      </c>
      <c r="K529" s="9">
        <v>0</v>
      </c>
      <c r="L529" s="10">
        <f t="shared" ref="L529:L535" si="99">S529/H529</f>
        <v>0.21154677338669342</v>
      </c>
      <c r="M529" s="7"/>
      <c r="N529" s="48"/>
      <c r="O529" s="78" cm="1">
        <f t="array" ref="O529">IF(M529&lt;12.5, 0,
IF(M529&lt;29, 6.25,
IF(M529&lt;50, 6.5,
IF(M529&lt;79, 6.75,
VALUE(SUBSTITUTE(
INDEX(RESUMO!$J$2:$J$100, MATCH(1,
(D529&gt;=RESUMO!$H$2:$H$100)*(D529&lt;=RESUMO!$I$2:$I$100)*(M529&gt;=RESUMO!$K$2:$K$100)*(M529&lt;=RESUMO!$L$2:$L$100),
0)), "R$ ", ""))
))))</f>
        <v>0</v>
      </c>
      <c r="P529" s="9"/>
      <c r="Q529" s="10" t="e">
        <f t="shared" ref="Q529:Q535" si="100">U529/M529</f>
        <v>#DIV/0!</v>
      </c>
      <c r="R529" s="5">
        <f t="shared" ref="R529:R535" si="101">(H529-(H529*I529)-J529-(C529*E529)+K529)</f>
        <v>151.10820000000001</v>
      </c>
      <c r="S529" s="5">
        <f t="shared" ref="S529:S535" si="102">R529-(C529-F529)</f>
        <v>42.288200000000018</v>
      </c>
      <c r="T529" s="5">
        <f t="shared" ref="T529:T535" si="103">(M529-(M529*N529)-O529-(C529*E529)+P529)</f>
        <v>-4.3528000000000002</v>
      </c>
      <c r="U529" s="5">
        <f t="shared" ref="U529:U535" si="104">T529-(C529-F529)</f>
        <v>-113.1728</v>
      </c>
    </row>
    <row r="530" spans="1:21" x14ac:dyDescent="0.25">
      <c r="A530" s="11" t="s">
        <v>33</v>
      </c>
      <c r="B530" s="6" t="s">
        <v>589</v>
      </c>
      <c r="C530" s="9">
        <v>163.71</v>
      </c>
      <c r="D530" s="6">
        <v>3</v>
      </c>
      <c r="E530" s="8">
        <v>0.04</v>
      </c>
      <c r="F530" s="49">
        <v>0</v>
      </c>
      <c r="G530" s="9">
        <v>0</v>
      </c>
      <c r="H530" s="9">
        <v>289</v>
      </c>
      <c r="I530" s="48">
        <v>0.115</v>
      </c>
      <c r="J530" s="78" cm="1">
        <f t="array" ref="J530">IF(H530&lt;12.5, H530/2,
IF(H530&lt;29, 6.25,
IF(H530&lt;50, 6.5,
IF(H530&lt;79, 6.75,
VALUE(SUBSTITUTE(
INDEX(RESUMO!$J$2:$J$100, MATCH(1,
(D530&gt;=RESUMO!$H$2:$H$100)*(D530&lt;=RESUMO!$I$2:$I$100)*(H530&gt;=RESUMO!$K$2:$K$100)*(H530&lt;=RESUMO!$L$2:$L$100),
0)), "R$ ", ""))
))))</f>
        <v>24.95</v>
      </c>
      <c r="K530" s="9">
        <v>0</v>
      </c>
      <c r="L530" s="10">
        <f t="shared" si="99"/>
        <v>0.20953840830449819</v>
      </c>
      <c r="M530" s="7"/>
      <c r="N530" s="48"/>
      <c r="O530" s="78" cm="1">
        <f t="array" ref="O530">IF(M530&lt;12.5, 0,
IF(M530&lt;29, 6.25,
IF(M530&lt;50, 6.5,
IF(M530&lt;79, 6.75,
VALUE(SUBSTITUTE(
INDEX(RESUMO!$J$2:$J$100, MATCH(1,
(D530&gt;=RESUMO!$H$2:$H$100)*(D530&lt;=RESUMO!$I$2:$I$100)*(M530&gt;=RESUMO!$K$2:$K$100)*(M530&lt;=RESUMO!$L$2:$L$100),
0)), "R$ ", ""))
))))</f>
        <v>0</v>
      </c>
      <c r="P530" s="9"/>
      <c r="Q530" s="10" t="e">
        <f t="shared" si="100"/>
        <v>#DIV/0!</v>
      </c>
      <c r="R530" s="5">
        <f t="shared" si="101"/>
        <v>224.26659999999998</v>
      </c>
      <c r="S530" s="5">
        <f t="shared" si="102"/>
        <v>60.556599999999975</v>
      </c>
      <c r="T530" s="5">
        <f t="shared" si="103"/>
        <v>-6.5484000000000009</v>
      </c>
      <c r="U530" s="5">
        <f t="shared" si="104"/>
        <v>-170.25839999999999</v>
      </c>
    </row>
    <row r="531" spans="1:21" x14ac:dyDescent="0.25">
      <c r="A531" s="11" t="s">
        <v>25</v>
      </c>
      <c r="B531" s="6" t="s">
        <v>590</v>
      </c>
      <c r="C531" s="9">
        <v>391.07</v>
      </c>
      <c r="D531" s="6">
        <v>9</v>
      </c>
      <c r="E531" s="8">
        <v>0.04</v>
      </c>
      <c r="F531" s="49">
        <v>0</v>
      </c>
      <c r="G531" s="9">
        <v>0</v>
      </c>
      <c r="H531" s="9">
        <v>615</v>
      </c>
      <c r="I531" s="48">
        <v>0.11</v>
      </c>
      <c r="J531" s="78" cm="1">
        <f t="array" ref="J531">IF(H531&lt;12.5, H531/2,
IF(H531&lt;29, 6.25,
IF(H531&lt;50, 6.5,
IF(H531&lt;79, 6.75,
VALUE(SUBSTITUTE(
INDEX(RESUMO!$J$2:$J$100, MATCH(1,
(D531&gt;=RESUMO!$H$2:$H$100)*(D531&lt;=RESUMO!$I$2:$I$100)*(H531&gt;=RESUMO!$K$2:$K$100)*(H531&lt;=RESUMO!$L$2:$L$100),
0)), "R$ ", ""))
))))</f>
        <v>44.45</v>
      </c>
      <c r="K531" s="9">
        <v>0</v>
      </c>
      <c r="L531" s="10">
        <f t="shared" si="99"/>
        <v>0.15640195121951223</v>
      </c>
      <c r="M531" s="7">
        <v>599.99</v>
      </c>
      <c r="N531" s="48">
        <v>0.16</v>
      </c>
      <c r="O531" s="78" cm="1">
        <f t="array" ref="O531">IF(M531&lt;12.5, 0,
IF(M531&lt;29, 6.25,
IF(M531&lt;50, 6.5,
IF(M531&lt;79, 6.75,
VALUE(SUBSTITUTE(
INDEX(RESUMO!$J$2:$J$100, MATCH(1,
(D531&gt;=RESUMO!$H$2:$H$100)*(D531&lt;=RESUMO!$I$2:$I$100)*(M531&gt;=RESUMO!$K$2:$K$100)*(M531&lt;=RESUMO!$L$2:$L$100),
0)), "R$ ", ""))
))))</f>
        <v>44.45</v>
      </c>
      <c r="P531" s="9">
        <v>35.99</v>
      </c>
      <c r="Q531" s="10">
        <f t="shared" si="100"/>
        <v>0.14803380056334273</v>
      </c>
      <c r="R531" s="5">
        <f t="shared" si="101"/>
        <v>487.25720000000001</v>
      </c>
      <c r="S531" s="5">
        <f t="shared" si="102"/>
        <v>96.187200000000018</v>
      </c>
      <c r="T531" s="5">
        <f t="shared" si="103"/>
        <v>479.8888</v>
      </c>
      <c r="U531" s="5">
        <f t="shared" si="104"/>
        <v>88.81880000000001</v>
      </c>
    </row>
    <row r="532" spans="1:21" x14ac:dyDescent="0.25">
      <c r="A532" s="11" t="s">
        <v>25</v>
      </c>
      <c r="B532" s="6" t="s">
        <v>591</v>
      </c>
      <c r="C532" s="9">
        <v>102.72</v>
      </c>
      <c r="D532" s="6">
        <v>2</v>
      </c>
      <c r="E532" s="8">
        <v>0.04</v>
      </c>
      <c r="F532" s="49">
        <v>0</v>
      </c>
      <c r="G532" s="9">
        <v>0</v>
      </c>
      <c r="H532" s="9">
        <v>185</v>
      </c>
      <c r="I532" s="48">
        <v>0.11</v>
      </c>
      <c r="J532" s="78" cm="1">
        <f t="array" ref="J532">IF(H532&lt;12.5, H532/2,
IF(H532&lt;29, 6.25,
IF(H532&lt;50, 6.5,
IF(H532&lt;79, 6.75,
VALUE(SUBSTITUTE(
INDEX(RESUMO!$J$2:$J$100, MATCH(1,
(D532&gt;=RESUMO!$H$2:$H$100)*(D532&lt;=RESUMO!$I$2:$I$100)*(H532&gt;=RESUMO!$K$2:$K$100)*(H532&lt;=RESUMO!$L$2:$L$100),
0)), "R$ ", ""))
))))</f>
        <v>21.1</v>
      </c>
      <c r="K532" s="9">
        <v>0</v>
      </c>
      <c r="L532" s="10">
        <f t="shared" si="99"/>
        <v>0.19849297297297303</v>
      </c>
      <c r="M532" s="7"/>
      <c r="N532" s="48"/>
      <c r="O532" s="78" cm="1">
        <f t="array" ref="O532">IF(M532&lt;12.5, 0,
IF(M532&lt;29, 6.25,
IF(M532&lt;50, 6.5,
IF(M532&lt;79, 6.75,
VALUE(SUBSTITUTE(
INDEX(RESUMO!$J$2:$J$100, MATCH(1,
(D532&gt;=RESUMO!$H$2:$H$100)*(D532&lt;=RESUMO!$I$2:$I$100)*(M532&gt;=RESUMO!$K$2:$K$100)*(M532&lt;=RESUMO!$L$2:$L$100),
0)), "R$ ", ""))
))))</f>
        <v>0</v>
      </c>
      <c r="P532" s="9"/>
      <c r="Q532" s="10" t="e">
        <f t="shared" si="100"/>
        <v>#DIV/0!</v>
      </c>
      <c r="R532" s="5">
        <f t="shared" si="101"/>
        <v>139.44120000000001</v>
      </c>
      <c r="S532" s="5">
        <f t="shared" si="102"/>
        <v>36.72120000000001</v>
      </c>
      <c r="T532" s="5">
        <f t="shared" si="103"/>
        <v>-4.1088000000000005</v>
      </c>
      <c r="U532" s="5">
        <f t="shared" si="104"/>
        <v>-106.8288</v>
      </c>
    </row>
    <row r="533" spans="1:21" x14ac:dyDescent="0.25">
      <c r="A533" s="11" t="s">
        <v>25</v>
      </c>
      <c r="B533" s="6" t="s">
        <v>592</v>
      </c>
      <c r="C533" s="9">
        <v>102.72</v>
      </c>
      <c r="D533" s="6">
        <v>2</v>
      </c>
      <c r="E533" s="8">
        <v>0.04</v>
      </c>
      <c r="F533" s="49">
        <v>0</v>
      </c>
      <c r="G533" s="9">
        <v>0</v>
      </c>
      <c r="H533" s="9">
        <v>185</v>
      </c>
      <c r="I533" s="48">
        <v>0.11</v>
      </c>
      <c r="J533" s="78" cm="1">
        <f t="array" ref="J533">IF(H533&lt;12.5, H533/2,
IF(H533&lt;29, 6.25,
IF(H533&lt;50, 6.5,
IF(H533&lt;79, 6.75,
VALUE(SUBSTITUTE(
INDEX(RESUMO!$J$2:$J$100, MATCH(1,
(D533&gt;=RESUMO!$H$2:$H$100)*(D533&lt;=RESUMO!$I$2:$I$100)*(H533&gt;=RESUMO!$K$2:$K$100)*(H533&lt;=RESUMO!$L$2:$L$100),
0)), "R$ ", ""))
))))</f>
        <v>21.1</v>
      </c>
      <c r="K533" s="9">
        <v>0</v>
      </c>
      <c r="L533" s="10">
        <f t="shared" si="99"/>
        <v>0.19849297297297303</v>
      </c>
      <c r="M533" s="7"/>
      <c r="N533" s="48"/>
      <c r="O533" s="78" cm="1">
        <f t="array" ref="O533">IF(M533&lt;12.5, 0,
IF(M533&lt;29, 6.25,
IF(M533&lt;50, 6.5,
IF(M533&lt;79, 6.75,
VALUE(SUBSTITUTE(
INDEX(RESUMO!$J$2:$J$100, MATCH(1,
(D533&gt;=RESUMO!$H$2:$H$100)*(D533&lt;=RESUMO!$I$2:$I$100)*(M533&gt;=RESUMO!$K$2:$K$100)*(M533&lt;=RESUMO!$L$2:$L$100),
0)), "R$ ", ""))
))))</f>
        <v>0</v>
      </c>
      <c r="P533" s="9"/>
      <c r="Q533" s="10" t="e">
        <f t="shared" si="100"/>
        <v>#DIV/0!</v>
      </c>
      <c r="R533" s="5">
        <f t="shared" si="101"/>
        <v>139.44120000000001</v>
      </c>
      <c r="S533" s="5">
        <f t="shared" si="102"/>
        <v>36.72120000000001</v>
      </c>
      <c r="T533" s="5">
        <f t="shared" si="103"/>
        <v>-4.1088000000000005</v>
      </c>
      <c r="U533" s="5">
        <f t="shared" si="104"/>
        <v>-106.8288</v>
      </c>
    </row>
    <row r="534" spans="1:21" x14ac:dyDescent="0.25">
      <c r="A534" s="11" t="s">
        <v>33</v>
      </c>
      <c r="B534" s="6" t="s">
        <v>593</v>
      </c>
      <c r="C534" s="9">
        <v>436.18</v>
      </c>
      <c r="D534" s="6">
        <v>9</v>
      </c>
      <c r="E534" s="8">
        <v>0.04</v>
      </c>
      <c r="F534" s="49">
        <v>0</v>
      </c>
      <c r="G534" s="9">
        <v>0</v>
      </c>
      <c r="H534" s="9">
        <v>725</v>
      </c>
      <c r="I534" s="48">
        <v>0.11</v>
      </c>
      <c r="J534" s="78" cm="1">
        <f t="array" ref="J534">IF(H534&lt;12.5, H534/2,
IF(H534&lt;29, 6.25,
IF(H534&lt;50, 6.5,
IF(H534&lt;79, 6.75,
VALUE(SUBSTITUTE(
INDEX(RESUMO!$J$2:$J$100, MATCH(1,
(D534&gt;=RESUMO!$H$2:$H$100)*(D534&lt;=RESUMO!$I$2:$I$100)*(H534&gt;=RESUMO!$K$2:$K$100)*(H534&lt;=RESUMO!$L$2:$L$100),
0)), "R$ ", ""))
))))</f>
        <v>44.45</v>
      </c>
      <c r="K534" s="9">
        <v>0</v>
      </c>
      <c r="L534" s="10">
        <f t="shared" si="99"/>
        <v>0.20299696551724136</v>
      </c>
      <c r="M534" s="7"/>
      <c r="N534" s="48"/>
      <c r="O534" s="78" cm="1">
        <f t="array" ref="O534">IF(M534&lt;12.5, 0,
IF(M534&lt;29, 6.25,
IF(M534&lt;50, 6.5,
IF(M534&lt;79, 6.75,
VALUE(SUBSTITUTE(
INDEX(RESUMO!$J$2:$J$100, MATCH(1,
(D534&gt;=RESUMO!$H$2:$H$100)*(D534&lt;=RESUMO!$I$2:$I$100)*(M534&gt;=RESUMO!$K$2:$K$100)*(M534&lt;=RESUMO!$L$2:$L$100),
0)), "R$ ", ""))
))))</f>
        <v>0</v>
      </c>
      <c r="P534" s="9"/>
      <c r="Q534" s="10" t="e">
        <f t="shared" si="100"/>
        <v>#DIV/0!</v>
      </c>
      <c r="R534" s="5">
        <f t="shared" si="101"/>
        <v>583.3528</v>
      </c>
      <c r="S534" s="5">
        <f t="shared" si="102"/>
        <v>147.1728</v>
      </c>
      <c r="T534" s="5">
        <f t="shared" si="103"/>
        <v>-17.447200000000002</v>
      </c>
      <c r="U534" s="5">
        <f t="shared" si="104"/>
        <v>-453.62720000000002</v>
      </c>
    </row>
    <row r="535" spans="1:21" x14ac:dyDescent="0.25">
      <c r="A535" s="11" t="s">
        <v>25</v>
      </c>
      <c r="B535" s="6" t="s">
        <v>594</v>
      </c>
      <c r="C535" s="9">
        <v>64.61</v>
      </c>
      <c r="D535" s="6">
        <v>2</v>
      </c>
      <c r="E535" s="8">
        <v>0.04</v>
      </c>
      <c r="F535" s="49">
        <v>0</v>
      </c>
      <c r="G535" s="9">
        <v>0</v>
      </c>
      <c r="H535" s="9">
        <v>125</v>
      </c>
      <c r="I535" s="48">
        <v>0.11</v>
      </c>
      <c r="J535" s="78" cm="1">
        <f t="array" ref="J535">IF(H535&lt;12.5, H535/2,
IF(H535&lt;29, 6.25,
IF(H535&lt;50, 6.5,
IF(H535&lt;79, 6.75,
VALUE(SUBSTITUTE(
INDEX(RESUMO!$J$2:$J$100, MATCH(1,
(D535&gt;=RESUMO!$H$2:$H$100)*(D535&lt;=RESUMO!$I$2:$I$100)*(H535&gt;=RESUMO!$K$2:$K$100)*(H535&lt;=RESUMO!$L$2:$L$100),
0)), "R$ ", ""))
))))</f>
        <v>18.760000000000002</v>
      </c>
      <c r="K535" s="9">
        <v>0</v>
      </c>
      <c r="L535" s="10">
        <f t="shared" si="99"/>
        <v>0.20236479999999996</v>
      </c>
      <c r="M535" s="7"/>
      <c r="N535" s="48"/>
      <c r="O535" s="78" cm="1">
        <f t="array" ref="O535">IF(M535&lt;12.5, 0,
IF(M535&lt;29, 6.25,
IF(M535&lt;50, 6.5,
IF(M535&lt;79, 6.75,
VALUE(SUBSTITUTE(
INDEX(RESUMO!$J$2:$J$100, MATCH(1,
(D535&gt;=RESUMO!$H$2:$H$100)*(D535&lt;=RESUMO!$I$2:$I$100)*(M535&gt;=RESUMO!$K$2:$K$100)*(M535&lt;=RESUMO!$L$2:$L$100),
0)), "R$ ", ""))
))))</f>
        <v>0</v>
      </c>
      <c r="P535" s="9"/>
      <c r="Q535" s="10" t="e">
        <f t="shared" si="100"/>
        <v>#DIV/0!</v>
      </c>
      <c r="R535" s="5">
        <f t="shared" si="101"/>
        <v>89.905599999999993</v>
      </c>
      <c r="S535" s="5">
        <f t="shared" si="102"/>
        <v>25.295599999999993</v>
      </c>
      <c r="T535" s="5">
        <f t="shared" si="103"/>
        <v>-2.5844</v>
      </c>
      <c r="U535" s="5">
        <f t="shared" si="104"/>
        <v>-67.194400000000002</v>
      </c>
    </row>
    <row r="536" spans="1:21" x14ac:dyDescent="0.25">
      <c r="A536" s="11" t="s">
        <v>25</v>
      </c>
      <c r="B536" s="6" t="s">
        <v>595</v>
      </c>
      <c r="C536" s="9">
        <v>61.86</v>
      </c>
      <c r="D536" s="6">
        <v>2</v>
      </c>
      <c r="E536" s="8">
        <v>0.04</v>
      </c>
      <c r="F536" s="49">
        <v>0</v>
      </c>
      <c r="G536" s="9">
        <v>0</v>
      </c>
      <c r="H536" s="9">
        <v>118</v>
      </c>
      <c r="I536" s="48">
        <v>0.11</v>
      </c>
      <c r="J536" s="78" cm="1">
        <f t="array" ref="J536">IF(H536&lt;12.5, H536/2,
IF(H536&lt;29, 6.25,
IF(H536&lt;50, 6.5,
IF(H536&lt;79, 6.75,
VALUE(SUBSTITUTE(
INDEX(RESUMO!$J$2:$J$100, MATCH(1,
(D536&gt;=RESUMO!$H$2:$H$100)*(D536&lt;=RESUMO!$I$2:$I$100)*(H536&gt;=RESUMO!$K$2:$K$100)*(H536&lt;=RESUMO!$L$2:$L$100),
0)), "R$ ", ""))
))))</f>
        <v>16.41</v>
      </c>
      <c r="K536" s="9">
        <v>0</v>
      </c>
      <c r="L536" s="10">
        <f t="shared" si="60"/>
        <v>0.20572542372881353</v>
      </c>
      <c r="M536" s="7"/>
      <c r="N536" s="48"/>
      <c r="O536" s="78" cm="1">
        <f t="array" ref="O536">IF(M536&lt;12.5, 0,
IF(M536&lt;29, 6.25,
IF(M536&lt;50, 6.5,
IF(M536&lt;79, 6.75,
VALUE(SUBSTITUTE(
INDEX(RESUMO!$J$2:$J$100, MATCH(1,
(D536&gt;=RESUMO!$H$2:$H$100)*(D536&lt;=RESUMO!$I$2:$I$100)*(M536&gt;=RESUMO!$K$2:$K$100)*(M536&lt;=RESUMO!$L$2:$L$100),
0)), "R$ ", ""))
))))</f>
        <v>0</v>
      </c>
      <c r="P536" s="9"/>
      <c r="Q536" s="10" t="e">
        <f t="shared" si="61"/>
        <v>#DIV/0!</v>
      </c>
      <c r="R536" s="5">
        <f t="shared" si="62"/>
        <v>86.135599999999997</v>
      </c>
      <c r="S536" s="5">
        <f t="shared" si="63"/>
        <v>24.275599999999997</v>
      </c>
      <c r="T536" s="5">
        <f t="shared" si="64"/>
        <v>-2.4744000000000002</v>
      </c>
      <c r="U536" s="5">
        <f t="shared" si="65"/>
        <v>-64.334400000000002</v>
      </c>
    </row>
    <row r="537" spans="1:21" x14ac:dyDescent="0.25">
      <c r="A537" s="11" t="s">
        <v>25</v>
      </c>
      <c r="B537" s="6" t="s">
        <v>596</v>
      </c>
      <c r="C537" s="9">
        <v>79.66</v>
      </c>
      <c r="D537" s="6">
        <v>2</v>
      </c>
      <c r="E537" s="8">
        <v>0.04</v>
      </c>
      <c r="F537" s="49">
        <v>0</v>
      </c>
      <c r="G537" s="9">
        <v>0</v>
      </c>
      <c r="H537" s="9">
        <v>149</v>
      </c>
      <c r="I537" s="48">
        <v>0.11</v>
      </c>
      <c r="J537" s="78" cm="1">
        <f t="array" ref="J537">IF(H537&lt;12.5, H537/2,
IF(H537&lt;29, 6.25,
IF(H537&lt;50, 6.5,
IF(H537&lt;79, 6.75,
VALUE(SUBSTITUTE(
INDEX(RESUMO!$J$2:$J$100, MATCH(1,
(D537&gt;=RESUMO!$H$2:$H$100)*(D537&lt;=RESUMO!$I$2:$I$100)*(H537&gt;=RESUMO!$K$2:$K$100)*(H537&lt;=RESUMO!$L$2:$L$100),
0)), "R$ ", ""))
))))</f>
        <v>18.760000000000002</v>
      </c>
      <c r="K537" s="9">
        <v>0</v>
      </c>
      <c r="L537" s="10">
        <f t="shared" si="60"/>
        <v>0.20807785234899331</v>
      </c>
      <c r="M537" s="7"/>
      <c r="N537" s="48"/>
      <c r="O537" s="78" cm="1">
        <f t="array" ref="O537">IF(M537&lt;12.5, 0,
IF(M537&lt;29, 6.25,
IF(M537&lt;50, 6.5,
IF(M537&lt;79, 6.75,
VALUE(SUBSTITUTE(
INDEX(RESUMO!$J$2:$J$100, MATCH(1,
(D537&gt;=RESUMO!$H$2:$H$100)*(D537&lt;=RESUMO!$I$2:$I$100)*(M537&gt;=RESUMO!$K$2:$K$100)*(M537&lt;=RESUMO!$L$2:$L$100),
0)), "R$ ", ""))
))))</f>
        <v>0</v>
      </c>
      <c r="P537" s="9"/>
      <c r="Q537" s="10" t="e">
        <f t="shared" si="61"/>
        <v>#DIV/0!</v>
      </c>
      <c r="R537" s="5">
        <f t="shared" si="62"/>
        <v>110.6636</v>
      </c>
      <c r="S537" s="5">
        <f t="shared" si="63"/>
        <v>31.003600000000006</v>
      </c>
      <c r="T537" s="5">
        <f t="shared" si="64"/>
        <v>-3.1863999999999999</v>
      </c>
      <c r="U537" s="5">
        <f t="shared" si="65"/>
        <v>-82.846400000000003</v>
      </c>
    </row>
    <row r="538" spans="1:21" x14ac:dyDescent="0.25">
      <c r="A538" s="11" t="s">
        <v>25</v>
      </c>
      <c r="B538" s="6" t="s">
        <v>597</v>
      </c>
      <c r="C538" s="9">
        <v>75.430000000000007</v>
      </c>
      <c r="D538" s="6">
        <v>2</v>
      </c>
      <c r="E538" s="8">
        <v>0.04</v>
      </c>
      <c r="F538" s="49">
        <v>0</v>
      </c>
      <c r="G538" s="9">
        <v>0</v>
      </c>
      <c r="H538" s="9">
        <v>142</v>
      </c>
      <c r="I538" s="48">
        <v>0.11</v>
      </c>
      <c r="J538" s="78" cm="1">
        <f t="array" ref="J538">IF(H538&lt;12.5, H538/2,
IF(H538&lt;29, 6.25,
IF(H538&lt;50, 6.5,
IF(H538&lt;79, 6.75,
VALUE(SUBSTITUTE(
INDEX(RESUMO!$J$2:$J$100, MATCH(1,
(D538&gt;=RESUMO!$H$2:$H$100)*(D538&lt;=RESUMO!$I$2:$I$100)*(H538&gt;=RESUMO!$K$2:$K$100)*(H538&lt;=RESUMO!$L$2:$L$100),
0)), "R$ ", ""))
))))</f>
        <v>18.760000000000002</v>
      </c>
      <c r="K538" s="9">
        <v>0</v>
      </c>
      <c r="L538" s="10">
        <f t="shared" si="60"/>
        <v>0.20544225352112663</v>
      </c>
      <c r="M538" s="7"/>
      <c r="N538" s="48"/>
      <c r="O538" s="78" cm="1">
        <f t="array" ref="O538">IF(M538&lt;12.5, 0,
IF(M538&lt;29, 6.25,
IF(M538&lt;50, 6.5,
IF(M538&lt;79, 6.75,
VALUE(SUBSTITUTE(
INDEX(RESUMO!$J$2:$J$100, MATCH(1,
(D538&gt;=RESUMO!$H$2:$H$100)*(D538&lt;=RESUMO!$I$2:$I$100)*(M538&gt;=RESUMO!$K$2:$K$100)*(M538&lt;=RESUMO!$L$2:$L$100),
0)), "R$ ", ""))
))))</f>
        <v>0</v>
      </c>
      <c r="P538" s="9"/>
      <c r="Q538" s="10" t="e">
        <f t="shared" si="61"/>
        <v>#DIV/0!</v>
      </c>
      <c r="R538" s="5">
        <f t="shared" si="62"/>
        <v>104.60279999999999</v>
      </c>
      <c r="S538" s="5">
        <f t="shared" si="63"/>
        <v>29.172799999999981</v>
      </c>
      <c r="T538" s="5">
        <f t="shared" si="64"/>
        <v>-3.0172000000000003</v>
      </c>
      <c r="U538" s="5">
        <f t="shared" si="65"/>
        <v>-78.447200000000009</v>
      </c>
    </row>
    <row r="539" spans="1:21" x14ac:dyDescent="0.25">
      <c r="A539" s="11"/>
      <c r="B539" s="6" t="s">
        <v>598</v>
      </c>
      <c r="C539" s="9">
        <v>51.16</v>
      </c>
      <c r="D539" s="6"/>
      <c r="E539" s="8">
        <v>0.04</v>
      </c>
      <c r="F539" s="49">
        <v>0</v>
      </c>
      <c r="G539" s="9">
        <v>0</v>
      </c>
      <c r="H539" s="9"/>
      <c r="I539" s="48"/>
      <c r="J539" s="78" cm="1">
        <f t="array" ref="J539">IF(H539&lt;12.5, H539/2,
IF(H539&lt;29, 6.25,
IF(H539&lt;50, 6.5,
IF(H539&lt;79, 6.75,
VALUE(SUBSTITUTE(
INDEX(RESUMO!$J$2:$J$100, MATCH(1,
(D539&gt;=RESUMO!$H$2:$H$100)*(D539&lt;=RESUMO!$I$2:$I$100)*(H539&gt;=RESUMO!$K$2:$K$100)*(H539&lt;=RESUMO!$L$2:$L$100),
0)), "R$ ", ""))
))))</f>
        <v>0</v>
      </c>
      <c r="K539" s="9"/>
      <c r="L539" s="10" t="e">
        <f t="shared" si="60"/>
        <v>#DIV/0!</v>
      </c>
      <c r="M539" s="7"/>
      <c r="N539" s="48"/>
      <c r="O539" s="78" cm="1">
        <f t="array" ref="O539">IF(M539&lt;12.5, 0,
IF(M539&lt;29, 6.25,
IF(M539&lt;50, 6.5,
IF(M539&lt;79, 6.75,
VALUE(SUBSTITUTE(
INDEX(RESUMO!$J$2:$J$100, MATCH(1,
(D539&gt;=RESUMO!$H$2:$H$100)*(D539&lt;=RESUMO!$I$2:$I$100)*(M539&gt;=RESUMO!$K$2:$K$100)*(M539&lt;=RESUMO!$L$2:$L$100),
0)), "R$ ", ""))
))))</f>
        <v>0</v>
      </c>
      <c r="P539" s="9"/>
      <c r="Q539" s="10" t="e">
        <f t="shared" si="61"/>
        <v>#DIV/0!</v>
      </c>
      <c r="R539" s="5">
        <f t="shared" si="62"/>
        <v>-2.0463999999999998</v>
      </c>
      <c r="S539" s="5">
        <f t="shared" si="63"/>
        <v>-53.206399999999995</v>
      </c>
      <c r="T539" s="5">
        <f t="shared" si="64"/>
        <v>-2.0463999999999998</v>
      </c>
      <c r="U539" s="5">
        <f t="shared" si="65"/>
        <v>-53.206399999999995</v>
      </c>
    </row>
    <row r="540" spans="1:21" x14ac:dyDescent="0.25">
      <c r="A540" s="11" t="s">
        <v>33</v>
      </c>
      <c r="B540" s="6" t="s">
        <v>599</v>
      </c>
      <c r="C540" s="9">
        <v>119.5</v>
      </c>
      <c r="D540" s="6">
        <v>2</v>
      </c>
      <c r="E540" s="8">
        <v>0.04</v>
      </c>
      <c r="F540" s="49">
        <v>0</v>
      </c>
      <c r="G540" s="9">
        <v>0</v>
      </c>
      <c r="H540" s="9">
        <v>215</v>
      </c>
      <c r="I540" s="48">
        <v>0.11</v>
      </c>
      <c r="J540" s="78" cm="1">
        <f t="array" ref="J540">IF(H540&lt;12.5, H540/2,
IF(H540&lt;29, 6.25,
IF(H540&lt;50, 6.5,
IF(H540&lt;79, 6.75,
VALUE(SUBSTITUTE(
INDEX(RESUMO!$J$2:$J$100, MATCH(1,
(D540&gt;=RESUMO!$H$2:$H$100)*(D540&lt;=RESUMO!$I$2:$I$100)*(H540&gt;=RESUMO!$K$2:$K$100)*(H540&lt;=RESUMO!$L$2:$L$100),
0)), "R$ ", ""))
))))</f>
        <v>23.45</v>
      </c>
      <c r="K540" s="9">
        <v>0</v>
      </c>
      <c r="L540" s="10">
        <f t="shared" si="60"/>
        <v>0.20288372093023258</v>
      </c>
      <c r="M540" s="7"/>
      <c r="N540" s="48"/>
      <c r="O540" s="78" cm="1">
        <f t="array" ref="O540">IF(M540&lt;12.5, 0,
IF(M540&lt;29, 6.25,
IF(M540&lt;50, 6.5,
IF(M540&lt;79, 6.75,
VALUE(SUBSTITUTE(
INDEX(RESUMO!$J$2:$J$100, MATCH(1,
(D540&gt;=RESUMO!$H$2:$H$100)*(D540&lt;=RESUMO!$I$2:$I$100)*(M540&gt;=RESUMO!$K$2:$K$100)*(M540&lt;=RESUMO!$L$2:$L$100),
0)), "R$ ", ""))
))))</f>
        <v>0</v>
      </c>
      <c r="P540" s="9"/>
      <c r="Q540" s="10" t="e">
        <f t="shared" si="61"/>
        <v>#DIV/0!</v>
      </c>
      <c r="R540" s="5">
        <f t="shared" si="62"/>
        <v>163.12</v>
      </c>
      <c r="S540" s="5">
        <f t="shared" si="63"/>
        <v>43.620000000000005</v>
      </c>
      <c r="T540" s="5">
        <f t="shared" si="64"/>
        <v>-4.78</v>
      </c>
      <c r="U540" s="5">
        <f t="shared" si="65"/>
        <v>-124.28</v>
      </c>
    </row>
    <row r="541" spans="1:21" x14ac:dyDescent="0.25">
      <c r="A541" s="11" t="s">
        <v>33</v>
      </c>
      <c r="B541" s="6" t="s">
        <v>600</v>
      </c>
      <c r="C541" s="9">
        <v>119.5</v>
      </c>
      <c r="D541" s="6">
        <v>2</v>
      </c>
      <c r="E541" s="8">
        <v>0.04</v>
      </c>
      <c r="F541" s="49">
        <v>0</v>
      </c>
      <c r="G541" s="9">
        <v>0</v>
      </c>
      <c r="H541" s="9">
        <v>215</v>
      </c>
      <c r="I541" s="48">
        <v>0.11</v>
      </c>
      <c r="J541" s="78" cm="1">
        <f t="array" ref="J541">IF(H541&lt;12.5, H541/2,
IF(H541&lt;29, 6.25,
IF(H541&lt;50, 6.5,
IF(H541&lt;79, 6.75,
VALUE(SUBSTITUTE(
INDEX(RESUMO!$J$2:$J$100, MATCH(1,
(D541&gt;=RESUMO!$H$2:$H$100)*(D541&lt;=RESUMO!$I$2:$I$100)*(H541&gt;=RESUMO!$K$2:$K$100)*(H541&lt;=RESUMO!$L$2:$L$100),
0)), "R$ ", ""))
))))</f>
        <v>23.45</v>
      </c>
      <c r="K541" s="9">
        <v>0</v>
      </c>
      <c r="L541" s="10">
        <f t="shared" ref="L541:L745" si="105">S541/H541</f>
        <v>0.20288372093023258</v>
      </c>
      <c r="M541" s="7"/>
      <c r="N541" s="48"/>
      <c r="O541" s="78" cm="1">
        <f t="array" ref="O541">IF(M541&lt;12.5, 0,
IF(M541&lt;29, 6.25,
IF(M541&lt;50, 6.5,
IF(M541&lt;79, 6.75,
VALUE(SUBSTITUTE(
INDEX(RESUMO!$J$2:$J$100, MATCH(1,
(D541&gt;=RESUMO!$H$2:$H$100)*(D541&lt;=RESUMO!$I$2:$I$100)*(M541&gt;=RESUMO!$K$2:$K$100)*(M541&lt;=RESUMO!$L$2:$L$100),
0)), "R$ ", ""))
))))</f>
        <v>0</v>
      </c>
      <c r="P541" s="9"/>
      <c r="Q541" s="10" t="e">
        <f t="shared" ref="Q541:Q745" si="106">U541/M541</f>
        <v>#DIV/0!</v>
      </c>
      <c r="R541" s="5">
        <f t="shared" ref="R541:R745" si="107">(H541-(H541*I541)-J541-(C541*E541)+K541)</f>
        <v>163.12</v>
      </c>
      <c r="S541" s="5">
        <f t="shared" ref="S541:S745" si="108">R541-(C541-F541)</f>
        <v>43.620000000000005</v>
      </c>
      <c r="T541" s="5">
        <f t="shared" ref="T541:T745" si="109">(M541-(M541*N541)-O541-(C541*E541)+P541)</f>
        <v>-4.78</v>
      </c>
      <c r="U541" s="5">
        <f t="shared" ref="U541:U745" si="110">T541-(C541-F541)</f>
        <v>-124.28</v>
      </c>
    </row>
    <row r="542" spans="1:21" x14ac:dyDescent="0.25">
      <c r="A542" s="11" t="s">
        <v>25</v>
      </c>
      <c r="B542" s="6" t="s">
        <v>601</v>
      </c>
      <c r="C542" s="9">
        <v>62.62</v>
      </c>
      <c r="D542" s="6">
        <v>1</v>
      </c>
      <c r="E542" s="8">
        <v>0.04</v>
      </c>
      <c r="F542" s="49">
        <v>0</v>
      </c>
      <c r="G542" s="9">
        <v>0</v>
      </c>
      <c r="H542" s="9">
        <v>118</v>
      </c>
      <c r="I542" s="48">
        <v>0.11</v>
      </c>
      <c r="J542" s="78" cm="1">
        <f t="array" ref="J542">IF(H542&lt;12.5, H542/2,
IF(H542&lt;29, 6.25,
IF(H542&lt;50, 6.5,
IF(H542&lt;79, 6.75,
VALUE(SUBSTITUTE(
INDEX(RESUMO!$J$2:$J$100, MATCH(1,
(D542&gt;=RESUMO!$H$2:$H$100)*(D542&lt;=RESUMO!$I$2:$I$100)*(H542&gt;=RESUMO!$K$2:$K$100)*(H542&lt;=RESUMO!$L$2:$L$100),
0)), "R$ ", ""))
))))</f>
        <v>15.71</v>
      </c>
      <c r="K542" s="9">
        <v>0</v>
      </c>
      <c r="L542" s="10">
        <f t="shared" si="105"/>
        <v>0.20495932203389833</v>
      </c>
      <c r="M542" s="7"/>
      <c r="N542" s="48"/>
      <c r="O542" s="78" cm="1">
        <f t="array" ref="O542">IF(M542&lt;12.5, 0,
IF(M542&lt;29, 6.25,
IF(M542&lt;50, 6.5,
IF(M542&lt;79, 6.75,
VALUE(SUBSTITUTE(
INDEX(RESUMO!$J$2:$J$100, MATCH(1,
(D542&gt;=RESUMO!$H$2:$H$100)*(D542&lt;=RESUMO!$I$2:$I$100)*(M542&gt;=RESUMO!$K$2:$K$100)*(M542&lt;=RESUMO!$L$2:$L$100),
0)), "R$ ", ""))
))))</f>
        <v>0</v>
      </c>
      <c r="P542" s="9"/>
      <c r="Q542" s="10" t="e">
        <f t="shared" si="106"/>
        <v>#DIV/0!</v>
      </c>
      <c r="R542" s="5">
        <f t="shared" si="107"/>
        <v>86.805199999999999</v>
      </c>
      <c r="S542" s="5">
        <f t="shared" si="108"/>
        <v>24.185200000000002</v>
      </c>
      <c r="T542" s="5">
        <f t="shared" si="109"/>
        <v>-2.5047999999999999</v>
      </c>
      <c r="U542" s="5">
        <f t="shared" si="110"/>
        <v>-65.124799999999993</v>
      </c>
    </row>
    <row r="543" spans="1:21" x14ac:dyDescent="0.25">
      <c r="A543" s="11" t="s">
        <v>25</v>
      </c>
      <c r="B543" s="6" t="s">
        <v>602</v>
      </c>
      <c r="C543" s="9">
        <v>62.62</v>
      </c>
      <c r="D543" s="6">
        <v>1</v>
      </c>
      <c r="E543" s="8">
        <v>0.04</v>
      </c>
      <c r="F543" s="49">
        <v>0</v>
      </c>
      <c r="G543" s="9">
        <v>0</v>
      </c>
      <c r="H543" s="9">
        <v>118</v>
      </c>
      <c r="I543" s="48">
        <v>0.11</v>
      </c>
      <c r="J543" s="78" cm="1">
        <f t="array" ref="J543">IF(H543&lt;12.5, H543/2,
IF(H543&lt;29, 6.25,
IF(H543&lt;50, 6.5,
IF(H543&lt;79, 6.75,
VALUE(SUBSTITUTE(
INDEX(RESUMO!$J$2:$J$100, MATCH(1,
(D543&gt;=RESUMO!$H$2:$H$100)*(D543&lt;=RESUMO!$I$2:$I$100)*(H543&gt;=RESUMO!$K$2:$K$100)*(H543&lt;=RESUMO!$L$2:$L$100),
0)), "R$ ", ""))
))))</f>
        <v>15.71</v>
      </c>
      <c r="K543" s="9">
        <v>0</v>
      </c>
      <c r="L543" s="10">
        <f t="shared" si="105"/>
        <v>0.20495932203389833</v>
      </c>
      <c r="M543" s="7"/>
      <c r="N543" s="48"/>
      <c r="O543" s="78" cm="1">
        <f t="array" ref="O543">IF(M543&lt;12.5, 0,
IF(M543&lt;29, 6.25,
IF(M543&lt;50, 6.5,
IF(M543&lt;79, 6.75,
VALUE(SUBSTITUTE(
INDEX(RESUMO!$J$2:$J$100, MATCH(1,
(D543&gt;=RESUMO!$H$2:$H$100)*(D543&lt;=RESUMO!$I$2:$I$100)*(M543&gt;=RESUMO!$K$2:$K$100)*(M543&lt;=RESUMO!$L$2:$L$100),
0)), "R$ ", ""))
))))</f>
        <v>0</v>
      </c>
      <c r="P543" s="9"/>
      <c r="Q543" s="10" t="e">
        <f t="shared" si="106"/>
        <v>#DIV/0!</v>
      </c>
      <c r="R543" s="5">
        <f t="shared" si="107"/>
        <v>86.805199999999999</v>
      </c>
      <c r="S543" s="5">
        <f t="shared" si="108"/>
        <v>24.185200000000002</v>
      </c>
      <c r="T543" s="5">
        <f t="shared" si="109"/>
        <v>-2.5047999999999999</v>
      </c>
      <c r="U543" s="5">
        <f t="shared" si="110"/>
        <v>-65.124799999999993</v>
      </c>
    </row>
    <row r="544" spans="1:21" x14ac:dyDescent="0.25">
      <c r="A544" s="11" t="s">
        <v>25</v>
      </c>
      <c r="B544" s="6" t="s">
        <v>603</v>
      </c>
      <c r="C544" s="9">
        <v>86.38</v>
      </c>
      <c r="D544" s="6">
        <v>1</v>
      </c>
      <c r="E544" s="8">
        <v>0.04</v>
      </c>
      <c r="F544" s="49">
        <v>0</v>
      </c>
      <c r="G544" s="9">
        <v>0</v>
      </c>
      <c r="H544" s="9">
        <v>159.9</v>
      </c>
      <c r="I544" s="48">
        <v>0.11</v>
      </c>
      <c r="J544" s="78" cm="1">
        <f t="array" ref="J544">IF(H544&lt;12.5, H544/2,
IF(H544&lt;29, 6.25,
IF(H544&lt;50, 6.5,
IF(H544&lt;79, 6.75,
VALUE(SUBSTITUTE(
INDEX(RESUMO!$J$2:$J$100, MATCH(1,
(D544&gt;=RESUMO!$H$2:$H$100)*(D544&lt;=RESUMO!$I$2:$I$100)*(H544&gt;=RESUMO!$K$2:$K$100)*(H544&lt;=RESUMO!$L$2:$L$100),
0)), "R$ ", ""))
))))</f>
        <v>20.2</v>
      </c>
      <c r="K544" s="9">
        <v>0</v>
      </c>
      <c r="L544" s="10">
        <f t="shared" si="105"/>
        <v>0.20184990619136961</v>
      </c>
      <c r="M544" s="7"/>
      <c r="N544" s="48"/>
      <c r="O544" s="78" cm="1">
        <f t="array" ref="O544">IF(M544&lt;12.5, 0,
IF(M544&lt;29, 6.25,
IF(M544&lt;50, 6.5,
IF(M544&lt;79, 6.75,
VALUE(SUBSTITUTE(
INDEX(RESUMO!$J$2:$J$100, MATCH(1,
(D544&gt;=RESUMO!$H$2:$H$100)*(D544&lt;=RESUMO!$I$2:$I$100)*(M544&gt;=RESUMO!$K$2:$K$100)*(M544&lt;=RESUMO!$L$2:$L$100),
0)), "R$ ", ""))
))))</f>
        <v>0</v>
      </c>
      <c r="P544" s="9"/>
      <c r="Q544" s="10" t="e">
        <f t="shared" si="106"/>
        <v>#DIV/0!</v>
      </c>
      <c r="R544" s="5">
        <f t="shared" si="107"/>
        <v>118.6558</v>
      </c>
      <c r="S544" s="5">
        <f t="shared" si="108"/>
        <v>32.275800000000004</v>
      </c>
      <c r="T544" s="5">
        <f t="shared" si="109"/>
        <v>-3.4552</v>
      </c>
      <c r="U544" s="5">
        <f t="shared" si="110"/>
        <v>-89.8352</v>
      </c>
    </row>
    <row r="545" spans="1:21" x14ac:dyDescent="0.25">
      <c r="A545" s="11" t="s">
        <v>25</v>
      </c>
      <c r="B545" s="6" t="s">
        <v>604</v>
      </c>
      <c r="C545" s="9">
        <v>86.38</v>
      </c>
      <c r="D545" s="6">
        <v>2</v>
      </c>
      <c r="E545" s="8">
        <v>0.04</v>
      </c>
      <c r="F545" s="49">
        <v>0</v>
      </c>
      <c r="G545" s="9">
        <v>0</v>
      </c>
      <c r="H545" s="9">
        <v>159.9</v>
      </c>
      <c r="I545" s="48">
        <v>0.11</v>
      </c>
      <c r="J545" s="78" cm="1">
        <f t="array" ref="J545">IF(H545&lt;12.5, H545/2,
IF(H545&lt;29, 6.25,
IF(H545&lt;50, 6.5,
IF(H545&lt;79, 6.75,
VALUE(SUBSTITUTE(
INDEX(RESUMO!$J$2:$J$100, MATCH(1,
(D545&gt;=RESUMO!$H$2:$H$100)*(D545&lt;=RESUMO!$I$2:$I$100)*(H545&gt;=RESUMO!$K$2:$K$100)*(H545&lt;=RESUMO!$L$2:$L$100),
0)), "R$ ", ""))
))))</f>
        <v>21.1</v>
      </c>
      <c r="K545" s="9">
        <v>0</v>
      </c>
      <c r="L545" s="10">
        <f t="shared" si="105"/>
        <v>0.1962213883677299</v>
      </c>
      <c r="M545" s="7"/>
      <c r="N545" s="48"/>
      <c r="O545" s="78" cm="1">
        <f t="array" ref="O545">IF(M545&lt;12.5, 0,
IF(M545&lt;29, 6.25,
IF(M545&lt;50, 6.5,
IF(M545&lt;79, 6.75,
VALUE(SUBSTITUTE(
INDEX(RESUMO!$J$2:$J$100, MATCH(1,
(D545&gt;=RESUMO!$H$2:$H$100)*(D545&lt;=RESUMO!$I$2:$I$100)*(M545&gt;=RESUMO!$K$2:$K$100)*(M545&lt;=RESUMO!$L$2:$L$100),
0)), "R$ ", ""))
))))</f>
        <v>0</v>
      </c>
      <c r="P545" s="9"/>
      <c r="Q545" s="10" t="e">
        <f t="shared" si="106"/>
        <v>#DIV/0!</v>
      </c>
      <c r="R545" s="5">
        <f t="shared" si="107"/>
        <v>117.75580000000001</v>
      </c>
      <c r="S545" s="5">
        <f t="shared" si="108"/>
        <v>31.375800000000012</v>
      </c>
      <c r="T545" s="5">
        <f t="shared" si="109"/>
        <v>-3.4552</v>
      </c>
      <c r="U545" s="5">
        <f t="shared" si="110"/>
        <v>-89.8352</v>
      </c>
    </row>
    <row r="546" spans="1:21" x14ac:dyDescent="0.25">
      <c r="A546" s="11" t="s">
        <v>25</v>
      </c>
      <c r="B546" s="6" t="s">
        <v>605</v>
      </c>
      <c r="C546" s="9">
        <v>110.15</v>
      </c>
      <c r="D546" s="6">
        <v>2</v>
      </c>
      <c r="E546" s="8">
        <v>0.04</v>
      </c>
      <c r="F546" s="49">
        <v>0</v>
      </c>
      <c r="G546" s="9">
        <v>0</v>
      </c>
      <c r="H546" s="9">
        <v>199</v>
      </c>
      <c r="I546" s="48">
        <v>0.11</v>
      </c>
      <c r="J546" s="78" cm="1">
        <f t="array" ref="J546">IF(H546&lt;12.5, H546/2,
IF(H546&lt;29, 6.25,
IF(H546&lt;50, 6.5,
IF(H546&lt;79, 6.75,
VALUE(SUBSTITUTE(
INDEX(RESUMO!$J$2:$J$100, MATCH(1,
(D546&gt;=RESUMO!$H$2:$H$100)*(D546&lt;=RESUMO!$I$2:$I$100)*(H546&gt;=RESUMO!$K$2:$K$100)*(H546&lt;=RESUMO!$L$2:$L$100),
0)), "R$ ", ""))
))))</f>
        <v>21.1</v>
      </c>
      <c r="K546" s="9">
        <v>0</v>
      </c>
      <c r="L546" s="10">
        <f t="shared" si="105"/>
        <v>0.20831155778894475</v>
      </c>
      <c r="M546" s="7"/>
      <c r="N546" s="48"/>
      <c r="O546" s="78" cm="1">
        <f t="array" ref="O546">IF(M546&lt;12.5, 0,
IF(M546&lt;29, 6.25,
IF(M546&lt;50, 6.5,
IF(M546&lt;79, 6.75,
VALUE(SUBSTITUTE(
INDEX(RESUMO!$J$2:$J$100, MATCH(1,
(D546&gt;=RESUMO!$H$2:$H$100)*(D546&lt;=RESUMO!$I$2:$I$100)*(M546&gt;=RESUMO!$K$2:$K$100)*(M546&lt;=RESUMO!$L$2:$L$100),
0)), "R$ ", ""))
))))</f>
        <v>0</v>
      </c>
      <c r="P546" s="9"/>
      <c r="Q546" s="10" t="e">
        <f t="shared" si="106"/>
        <v>#DIV/0!</v>
      </c>
      <c r="R546" s="5">
        <f t="shared" si="107"/>
        <v>151.60400000000001</v>
      </c>
      <c r="S546" s="5">
        <f t="shared" si="108"/>
        <v>41.454000000000008</v>
      </c>
      <c r="T546" s="5">
        <f t="shared" si="109"/>
        <v>-4.4060000000000006</v>
      </c>
      <c r="U546" s="5">
        <f t="shared" si="110"/>
        <v>-114.55600000000001</v>
      </c>
    </row>
    <row r="547" spans="1:21" x14ac:dyDescent="0.25">
      <c r="A547" s="11" t="s">
        <v>33</v>
      </c>
      <c r="B547" s="6" t="s">
        <v>606</v>
      </c>
      <c r="C547" s="9">
        <v>514.70000000000005</v>
      </c>
      <c r="D547" s="6">
        <v>5</v>
      </c>
      <c r="E547" s="8">
        <v>0.04</v>
      </c>
      <c r="F547" s="49">
        <v>0</v>
      </c>
      <c r="G547" s="9">
        <v>0</v>
      </c>
      <c r="H547" s="9">
        <v>825</v>
      </c>
      <c r="I547" s="48">
        <v>0.115</v>
      </c>
      <c r="J547" s="78" cm="1">
        <f t="array" ref="J547">IF(H547&lt;12.5, H547/2,
IF(H547&lt;29, 6.25,
IF(H547&lt;50, 6.5,
IF(H547&lt;79, 6.75,
VALUE(SUBSTITUTE(
INDEX(RESUMO!$J$2:$J$100, MATCH(1,
(D547&gt;=RESUMO!$H$2:$H$100)*(D547&lt;=RESUMO!$I$2:$I$100)*(H547&gt;=RESUMO!$K$2:$K$100)*(H547&lt;=RESUMO!$L$2:$L$100),
0)), "R$ ", ""))
))))</f>
        <v>28.45</v>
      </c>
      <c r="K547" s="9">
        <v>0</v>
      </c>
      <c r="L547" s="10">
        <f t="shared" si="105"/>
        <v>0.20168121212121204</v>
      </c>
      <c r="M547" s="7"/>
      <c r="N547" s="48"/>
      <c r="O547" s="78" cm="1">
        <f t="array" ref="O547">IF(M547&lt;12.5, 0,
IF(M547&lt;29, 6.25,
IF(M547&lt;50, 6.5,
IF(M547&lt;79, 6.75,
VALUE(SUBSTITUTE(
INDEX(RESUMO!$J$2:$J$100, MATCH(1,
(D547&gt;=RESUMO!$H$2:$H$100)*(D547&lt;=RESUMO!$I$2:$I$100)*(M547&gt;=RESUMO!$K$2:$K$100)*(M547&lt;=RESUMO!$L$2:$L$100),
0)), "R$ ", ""))
))))</f>
        <v>0</v>
      </c>
      <c r="P547" s="9"/>
      <c r="Q547" s="10" t="e">
        <f t="shared" si="106"/>
        <v>#DIV/0!</v>
      </c>
      <c r="R547" s="5">
        <f t="shared" si="107"/>
        <v>681.08699999999999</v>
      </c>
      <c r="S547" s="5">
        <f t="shared" si="108"/>
        <v>166.38699999999994</v>
      </c>
      <c r="T547" s="5">
        <f t="shared" si="109"/>
        <v>-20.588000000000001</v>
      </c>
      <c r="U547" s="5">
        <f t="shared" si="110"/>
        <v>-535.28800000000001</v>
      </c>
    </row>
    <row r="548" spans="1:21" x14ac:dyDescent="0.25">
      <c r="A548" s="11" t="s">
        <v>25</v>
      </c>
      <c r="B548" s="6" t="s">
        <v>607</v>
      </c>
      <c r="C548" s="9">
        <v>31.56</v>
      </c>
      <c r="D548" s="6">
        <v>1</v>
      </c>
      <c r="E548" s="8">
        <v>0.04</v>
      </c>
      <c r="F548" s="49">
        <v>0</v>
      </c>
      <c r="G548" s="9">
        <v>0</v>
      </c>
      <c r="H548" s="9">
        <v>58.5</v>
      </c>
      <c r="I548" s="48">
        <v>0.12</v>
      </c>
      <c r="J548" s="78" cm="1">
        <f t="array" ref="J548">IF(H548&lt;12.5, H548/2,
IF(H548&lt;29, 6.25,
IF(H548&lt;50, 6.5,
IF(H548&lt;79, 6.75,
VALUE(SUBSTITUTE(
INDEX(RESUMO!$J$2:$J$100, MATCH(1,
(D548&gt;=RESUMO!$H$2:$H$100)*(D548&lt;=RESUMO!$I$2:$I$100)*(H548&gt;=RESUMO!$K$2:$K$100)*(H548&lt;=RESUMO!$L$2:$L$100),
0)), "R$ ", ""))
))))</f>
        <v>6.75</v>
      </c>
      <c r="K548" s="9">
        <v>0</v>
      </c>
      <c r="L548" s="10">
        <f t="shared" si="105"/>
        <v>0.20354871794871804</v>
      </c>
      <c r="M548" s="7"/>
      <c r="N548" s="48"/>
      <c r="O548" s="78" cm="1">
        <f t="array" ref="O548">IF(M548&lt;12.5, 0,
IF(M548&lt;29, 6.25,
IF(M548&lt;50, 6.5,
IF(M548&lt;79, 6.75,
VALUE(SUBSTITUTE(
INDEX(RESUMO!$J$2:$J$100, MATCH(1,
(D548&gt;=RESUMO!$H$2:$H$100)*(D548&lt;=RESUMO!$I$2:$I$100)*(M548&gt;=RESUMO!$K$2:$K$100)*(M548&lt;=RESUMO!$L$2:$L$100),
0)), "R$ ", ""))
))))</f>
        <v>0</v>
      </c>
      <c r="P548" s="9"/>
      <c r="Q548" s="10" t="e">
        <f t="shared" si="106"/>
        <v>#DIV/0!</v>
      </c>
      <c r="R548" s="5">
        <f t="shared" si="107"/>
        <v>43.467600000000004</v>
      </c>
      <c r="S548" s="5">
        <f t="shared" si="108"/>
        <v>11.907600000000006</v>
      </c>
      <c r="T548" s="5">
        <f t="shared" si="109"/>
        <v>-1.2624</v>
      </c>
      <c r="U548" s="5">
        <f t="shared" si="110"/>
        <v>-32.822400000000002</v>
      </c>
    </row>
    <row r="549" spans="1:21" x14ac:dyDescent="0.25">
      <c r="A549" s="11" t="s">
        <v>25</v>
      </c>
      <c r="B549" s="6" t="s">
        <v>608</v>
      </c>
      <c r="C549" s="9">
        <v>108.82</v>
      </c>
      <c r="D549" s="6">
        <v>2</v>
      </c>
      <c r="E549" s="8">
        <v>0.04</v>
      </c>
      <c r="F549" s="49">
        <v>0</v>
      </c>
      <c r="G549" s="9">
        <v>0</v>
      </c>
      <c r="H549" s="9">
        <v>195</v>
      </c>
      <c r="I549" s="48">
        <v>0.11</v>
      </c>
      <c r="J549" s="78" cm="1">
        <f t="array" ref="J549">IF(H549&lt;12.5, H549/2,
IF(H549&lt;29, 6.25,
IF(H549&lt;50, 6.5,
IF(H549&lt;79, 6.75,
VALUE(SUBSTITUTE(
INDEX(RESUMO!$J$2:$J$100, MATCH(1,
(D549&gt;=RESUMO!$H$2:$H$100)*(D549&lt;=RESUMO!$I$2:$I$100)*(H549&gt;=RESUMO!$K$2:$K$100)*(H549&lt;=RESUMO!$L$2:$L$100),
0)), "R$ ", ""))
))))</f>
        <v>21.1</v>
      </c>
      <c r="K549" s="9">
        <v>0</v>
      </c>
      <c r="L549" s="10">
        <f t="shared" si="105"/>
        <v>0.20142153846153857</v>
      </c>
      <c r="M549" s="7"/>
      <c r="N549" s="48"/>
      <c r="O549" s="78" cm="1">
        <f t="array" ref="O549">IF(M549&lt;12.5, 0,
IF(M549&lt;29, 6.25,
IF(M549&lt;50, 6.5,
IF(M549&lt;79, 6.75,
VALUE(SUBSTITUTE(
INDEX(RESUMO!$J$2:$J$100, MATCH(1,
(D549&gt;=RESUMO!$H$2:$H$100)*(D549&lt;=RESUMO!$I$2:$I$100)*(M549&gt;=RESUMO!$K$2:$K$100)*(M549&lt;=RESUMO!$L$2:$L$100),
0)), "R$ ", ""))
))))</f>
        <v>0</v>
      </c>
      <c r="P549" s="9"/>
      <c r="Q549" s="10" t="e">
        <f t="shared" si="106"/>
        <v>#DIV/0!</v>
      </c>
      <c r="R549" s="5">
        <f t="shared" si="107"/>
        <v>148.09720000000002</v>
      </c>
      <c r="S549" s="5">
        <f t="shared" si="108"/>
        <v>39.277200000000022</v>
      </c>
      <c r="T549" s="5">
        <f t="shared" si="109"/>
        <v>-4.3528000000000002</v>
      </c>
      <c r="U549" s="5">
        <f t="shared" si="110"/>
        <v>-113.1728</v>
      </c>
    </row>
    <row r="550" spans="1:21" x14ac:dyDescent="0.25">
      <c r="A550" s="11" t="s">
        <v>25</v>
      </c>
      <c r="B550" s="6" t="s">
        <v>609</v>
      </c>
      <c r="C550" s="9">
        <v>310.67</v>
      </c>
      <c r="D550" s="6"/>
      <c r="E550" s="8">
        <v>0.04</v>
      </c>
      <c r="F550" s="49">
        <v>0</v>
      </c>
      <c r="G550" s="9">
        <v>0</v>
      </c>
      <c r="H550" s="9"/>
      <c r="I550" s="48"/>
      <c r="J550" s="78" cm="1">
        <f t="array" ref="J550">IF(H550&lt;12.5, H550/2,
IF(H550&lt;29, 6.25,
IF(H550&lt;50, 6.5,
IF(H550&lt;79, 6.75,
VALUE(SUBSTITUTE(
INDEX(RESUMO!$J$2:$J$100, MATCH(1,
(D550&gt;=RESUMO!$H$2:$H$100)*(D550&lt;=RESUMO!$I$2:$I$100)*(H550&gt;=RESUMO!$K$2:$K$100)*(H550&lt;=RESUMO!$L$2:$L$100),
0)), "R$ ", ""))
))))</f>
        <v>0</v>
      </c>
      <c r="K550" s="9"/>
      <c r="L550" s="10" t="e">
        <f t="shared" si="105"/>
        <v>#DIV/0!</v>
      </c>
      <c r="M550" s="7"/>
      <c r="N550" s="48"/>
      <c r="O550" s="78" cm="1">
        <f t="array" ref="O550">IF(M550&lt;12.5, 0,
IF(M550&lt;29, 6.25,
IF(M550&lt;50, 6.5,
IF(M550&lt;79, 6.75,
VALUE(SUBSTITUTE(
INDEX(RESUMO!$J$2:$J$100, MATCH(1,
(D550&gt;=RESUMO!$H$2:$H$100)*(D550&lt;=RESUMO!$I$2:$I$100)*(M550&gt;=RESUMO!$K$2:$K$100)*(M550&lt;=RESUMO!$L$2:$L$100),
0)), "R$ ", ""))
))))</f>
        <v>0</v>
      </c>
      <c r="P550" s="9"/>
      <c r="Q550" s="10" t="e">
        <f t="shared" si="106"/>
        <v>#DIV/0!</v>
      </c>
      <c r="R550" s="5">
        <f t="shared" si="107"/>
        <v>-12.4268</v>
      </c>
      <c r="S550" s="5">
        <f t="shared" si="108"/>
        <v>-323.09680000000003</v>
      </c>
      <c r="T550" s="5">
        <f t="shared" si="109"/>
        <v>-12.4268</v>
      </c>
      <c r="U550" s="5">
        <f t="shared" si="110"/>
        <v>-323.09680000000003</v>
      </c>
    </row>
    <row r="551" spans="1:21" x14ac:dyDescent="0.25">
      <c r="A551" s="11" t="s">
        <v>33</v>
      </c>
      <c r="B551" s="6" t="s">
        <v>610</v>
      </c>
      <c r="C551" s="9">
        <v>236.4</v>
      </c>
      <c r="D551" s="6"/>
      <c r="E551" s="8">
        <v>0.04</v>
      </c>
      <c r="F551" s="49">
        <v>0</v>
      </c>
      <c r="G551" s="9">
        <v>0</v>
      </c>
      <c r="H551" s="9"/>
      <c r="I551" s="48"/>
      <c r="J551" s="78" cm="1">
        <f t="array" ref="J551">IF(H551&lt;12.5, H551/2,
IF(H551&lt;29, 6.25,
IF(H551&lt;50, 6.5,
IF(H551&lt;79, 6.75,
VALUE(SUBSTITUTE(
INDEX(RESUMO!$J$2:$J$100, MATCH(1,
(D551&gt;=RESUMO!$H$2:$H$100)*(D551&lt;=RESUMO!$I$2:$I$100)*(H551&gt;=RESUMO!$K$2:$K$100)*(H551&lt;=RESUMO!$L$2:$L$100),
0)), "R$ ", ""))
))))</f>
        <v>0</v>
      </c>
      <c r="K551" s="9"/>
      <c r="L551" s="10" t="e">
        <f t="shared" si="105"/>
        <v>#DIV/0!</v>
      </c>
      <c r="M551" s="7"/>
      <c r="N551" s="48"/>
      <c r="O551" s="78" cm="1">
        <f t="array" ref="O551">IF(M551&lt;12.5, 0,
IF(M551&lt;29, 6.25,
IF(M551&lt;50, 6.5,
IF(M551&lt;79, 6.75,
VALUE(SUBSTITUTE(
INDEX(RESUMO!$J$2:$J$100, MATCH(1,
(D551&gt;=RESUMO!$H$2:$H$100)*(D551&lt;=RESUMO!$I$2:$I$100)*(M551&gt;=RESUMO!$K$2:$K$100)*(M551&lt;=RESUMO!$L$2:$L$100),
0)), "R$ ", ""))
))))</f>
        <v>0</v>
      </c>
      <c r="P551" s="9"/>
      <c r="Q551" s="10" t="e">
        <f t="shared" si="106"/>
        <v>#DIV/0!</v>
      </c>
      <c r="R551" s="5">
        <f t="shared" si="107"/>
        <v>-9.4560000000000013</v>
      </c>
      <c r="S551" s="5">
        <f t="shared" si="108"/>
        <v>-245.85599999999999</v>
      </c>
      <c r="T551" s="5">
        <f t="shared" si="109"/>
        <v>-9.4560000000000013</v>
      </c>
      <c r="U551" s="5">
        <f t="shared" si="110"/>
        <v>-245.85599999999999</v>
      </c>
    </row>
    <row r="552" spans="1:21" x14ac:dyDescent="0.25">
      <c r="A552" s="11" t="s">
        <v>33</v>
      </c>
      <c r="B552" s="6" t="s">
        <v>611</v>
      </c>
      <c r="C552" s="9">
        <v>433.4</v>
      </c>
      <c r="D552" s="6"/>
      <c r="E552" s="8">
        <v>0.04</v>
      </c>
      <c r="F552" s="49">
        <v>0</v>
      </c>
      <c r="G552" s="9">
        <v>0</v>
      </c>
      <c r="H552" s="9"/>
      <c r="I552" s="48"/>
      <c r="J552" s="78" cm="1">
        <f t="array" ref="J552">IF(H552&lt;12.5, H552/2,
IF(H552&lt;29, 6.25,
IF(H552&lt;50, 6.5,
IF(H552&lt;79, 6.75,
VALUE(SUBSTITUTE(
INDEX(RESUMO!$J$2:$J$100, MATCH(1,
(D552&gt;=RESUMO!$H$2:$H$100)*(D552&lt;=RESUMO!$I$2:$I$100)*(H552&gt;=RESUMO!$K$2:$K$100)*(H552&lt;=RESUMO!$L$2:$L$100),
0)), "R$ ", ""))
))))</f>
        <v>0</v>
      </c>
      <c r="K552" s="9"/>
      <c r="L552" s="10" t="e">
        <f t="shared" ref="L552:L569" si="111">S552/H552</f>
        <v>#DIV/0!</v>
      </c>
      <c r="M552" s="7"/>
      <c r="N552" s="48"/>
      <c r="O552" s="78" cm="1">
        <f t="array" ref="O552">IF(M552&lt;12.5, 0,
IF(M552&lt;29, 6.25,
IF(M552&lt;50, 6.5,
IF(M552&lt;79, 6.75,
VALUE(SUBSTITUTE(
INDEX(RESUMO!$J$2:$J$100, MATCH(1,
(D552&gt;=RESUMO!$H$2:$H$100)*(D552&lt;=RESUMO!$I$2:$I$100)*(M552&gt;=RESUMO!$K$2:$K$100)*(M552&lt;=RESUMO!$L$2:$L$100),
0)), "R$ ", ""))
))))</f>
        <v>0</v>
      </c>
      <c r="P552" s="9"/>
      <c r="Q552" s="10" t="e">
        <f t="shared" ref="Q552:Q569" si="112">U552/M552</f>
        <v>#DIV/0!</v>
      </c>
      <c r="R552" s="5">
        <f t="shared" ref="R552:R569" si="113">(H552-(H552*I552)-J552-(C552*E552)+K552)</f>
        <v>-17.335999999999999</v>
      </c>
      <c r="S552" s="5">
        <f t="shared" ref="S552:S569" si="114">R552-(C552-F552)</f>
        <v>-450.73599999999999</v>
      </c>
      <c r="T552" s="5">
        <f t="shared" ref="T552:T569" si="115">(M552-(M552*N552)-O552-(C552*E552)+P552)</f>
        <v>-17.335999999999999</v>
      </c>
      <c r="U552" s="5">
        <f t="shared" ref="U552:U569" si="116">T552-(C552-F552)</f>
        <v>-450.73599999999999</v>
      </c>
    </row>
    <row r="553" spans="1:21" x14ac:dyDescent="0.25">
      <c r="A553" s="11" t="s">
        <v>33</v>
      </c>
      <c r="B553" s="6" t="s">
        <v>612</v>
      </c>
      <c r="C553" s="9">
        <v>402.04</v>
      </c>
      <c r="D553" s="6"/>
      <c r="E553" s="8">
        <v>0.04</v>
      </c>
      <c r="F553" s="49">
        <v>0</v>
      </c>
      <c r="G553" s="9">
        <v>0</v>
      </c>
      <c r="H553" s="9"/>
      <c r="I553" s="48"/>
      <c r="J553" s="78" cm="1">
        <f t="array" ref="J553">IF(H553&lt;12.5, H553/2,
IF(H553&lt;29, 6.25,
IF(H553&lt;50, 6.5,
IF(H553&lt;79, 6.75,
VALUE(SUBSTITUTE(
INDEX(RESUMO!$J$2:$J$100, MATCH(1,
(D553&gt;=RESUMO!$H$2:$H$100)*(D553&lt;=RESUMO!$I$2:$I$100)*(H553&gt;=RESUMO!$K$2:$K$100)*(H553&lt;=RESUMO!$L$2:$L$100),
0)), "R$ ", ""))
))))</f>
        <v>0</v>
      </c>
      <c r="K553" s="9"/>
      <c r="L553" s="10" t="e">
        <f t="shared" si="111"/>
        <v>#DIV/0!</v>
      </c>
      <c r="M553" s="7"/>
      <c r="N553" s="48"/>
      <c r="O553" s="78" cm="1">
        <f t="array" ref="O553">IF(M553&lt;12.5, 0,
IF(M553&lt;29, 6.25,
IF(M553&lt;50, 6.5,
IF(M553&lt;79, 6.75,
VALUE(SUBSTITUTE(
INDEX(RESUMO!$J$2:$J$100, MATCH(1,
(D553&gt;=RESUMO!$H$2:$H$100)*(D553&lt;=RESUMO!$I$2:$I$100)*(M553&gt;=RESUMO!$K$2:$K$100)*(M553&lt;=RESUMO!$L$2:$L$100),
0)), "R$ ", ""))
))))</f>
        <v>0</v>
      </c>
      <c r="P553" s="9"/>
      <c r="Q553" s="10" t="e">
        <f t="shared" si="112"/>
        <v>#DIV/0!</v>
      </c>
      <c r="R553" s="5">
        <f t="shared" si="113"/>
        <v>-16.081600000000002</v>
      </c>
      <c r="S553" s="5">
        <f t="shared" si="114"/>
        <v>-418.1216</v>
      </c>
      <c r="T553" s="5">
        <f t="shared" si="115"/>
        <v>-16.081600000000002</v>
      </c>
      <c r="U553" s="5">
        <f t="shared" si="116"/>
        <v>-418.1216</v>
      </c>
    </row>
    <row r="554" spans="1:21" x14ac:dyDescent="0.25">
      <c r="A554" s="11" t="s">
        <v>25</v>
      </c>
      <c r="B554" s="6" t="s">
        <v>613</v>
      </c>
      <c r="C554" s="9">
        <v>98.5</v>
      </c>
      <c r="D554" s="6"/>
      <c r="E554" s="8">
        <v>0.04</v>
      </c>
      <c r="F554" s="49">
        <v>0</v>
      </c>
      <c r="G554" s="9">
        <v>0</v>
      </c>
      <c r="H554" s="9"/>
      <c r="I554" s="48"/>
      <c r="J554" s="78" cm="1">
        <f t="array" ref="J554">IF(H554&lt;12.5, H554/2,
IF(H554&lt;29, 6.25,
IF(H554&lt;50, 6.5,
IF(H554&lt;79, 6.75,
VALUE(SUBSTITUTE(
INDEX(RESUMO!$J$2:$J$100, MATCH(1,
(D554&gt;=RESUMO!$H$2:$H$100)*(D554&lt;=RESUMO!$I$2:$I$100)*(H554&gt;=RESUMO!$K$2:$K$100)*(H554&lt;=RESUMO!$L$2:$L$100),
0)), "R$ ", ""))
))))</f>
        <v>0</v>
      </c>
      <c r="K554" s="9"/>
      <c r="L554" s="10" t="e">
        <f t="shared" si="111"/>
        <v>#DIV/0!</v>
      </c>
      <c r="M554" s="7"/>
      <c r="N554" s="48"/>
      <c r="O554" s="78" cm="1">
        <f t="array" ref="O554">IF(M554&lt;12.5, 0,
IF(M554&lt;29, 6.25,
IF(M554&lt;50, 6.5,
IF(M554&lt;79, 6.75,
VALUE(SUBSTITUTE(
INDEX(RESUMO!$J$2:$J$100, MATCH(1,
(D554&gt;=RESUMO!$H$2:$H$100)*(D554&lt;=RESUMO!$I$2:$I$100)*(M554&gt;=RESUMO!$K$2:$K$100)*(M554&lt;=RESUMO!$L$2:$L$100),
0)), "R$ ", ""))
))))</f>
        <v>0</v>
      </c>
      <c r="P554" s="9"/>
      <c r="Q554" s="10" t="e">
        <f t="shared" si="112"/>
        <v>#DIV/0!</v>
      </c>
      <c r="R554" s="5">
        <f t="shared" si="113"/>
        <v>-3.94</v>
      </c>
      <c r="S554" s="5">
        <f t="shared" si="114"/>
        <v>-102.44</v>
      </c>
      <c r="T554" s="5">
        <f t="shared" si="115"/>
        <v>-3.94</v>
      </c>
      <c r="U554" s="5">
        <f t="shared" si="116"/>
        <v>-102.44</v>
      </c>
    </row>
    <row r="555" spans="1:21" x14ac:dyDescent="0.25">
      <c r="A555" s="11" t="s">
        <v>25</v>
      </c>
      <c r="B555" s="6" t="s">
        <v>614</v>
      </c>
      <c r="C555" s="9">
        <v>60.77</v>
      </c>
      <c r="D555" s="6"/>
      <c r="E555" s="8">
        <v>0.04</v>
      </c>
      <c r="F555" s="49">
        <v>0</v>
      </c>
      <c r="G555" s="9">
        <v>0</v>
      </c>
      <c r="H555" s="9"/>
      <c r="I555" s="48"/>
      <c r="J555" s="78" cm="1">
        <f t="array" ref="J555">IF(H555&lt;12.5, H555/2,
IF(H555&lt;29, 6.25,
IF(H555&lt;50, 6.5,
IF(H555&lt;79, 6.75,
VALUE(SUBSTITUTE(
INDEX(RESUMO!$J$2:$J$100, MATCH(1,
(D555&gt;=RESUMO!$H$2:$H$100)*(D555&lt;=RESUMO!$I$2:$I$100)*(H555&gt;=RESUMO!$K$2:$K$100)*(H555&lt;=RESUMO!$L$2:$L$100),
0)), "R$ ", ""))
))))</f>
        <v>0</v>
      </c>
      <c r="K555" s="9"/>
      <c r="L555" s="10" t="e">
        <f t="shared" si="111"/>
        <v>#DIV/0!</v>
      </c>
      <c r="M555" s="7"/>
      <c r="N555" s="48"/>
      <c r="O555" s="78" cm="1">
        <f t="array" ref="O555">IF(M555&lt;12.5, 0,
IF(M555&lt;29, 6.25,
IF(M555&lt;50, 6.5,
IF(M555&lt;79, 6.75,
VALUE(SUBSTITUTE(
INDEX(RESUMO!$J$2:$J$100, MATCH(1,
(D555&gt;=RESUMO!$H$2:$H$100)*(D555&lt;=RESUMO!$I$2:$I$100)*(M555&gt;=RESUMO!$K$2:$K$100)*(M555&lt;=RESUMO!$L$2:$L$100),
0)), "R$ ", ""))
))))</f>
        <v>0</v>
      </c>
      <c r="P555" s="9"/>
      <c r="Q555" s="10" t="e">
        <f t="shared" si="112"/>
        <v>#DIV/0!</v>
      </c>
      <c r="R555" s="5">
        <f t="shared" si="113"/>
        <v>-2.4308000000000001</v>
      </c>
      <c r="S555" s="5">
        <f t="shared" si="114"/>
        <v>-63.200800000000001</v>
      </c>
      <c r="T555" s="5">
        <f t="shared" si="115"/>
        <v>-2.4308000000000001</v>
      </c>
      <c r="U555" s="5">
        <f t="shared" si="116"/>
        <v>-63.200800000000001</v>
      </c>
    </row>
    <row r="556" spans="1:21" x14ac:dyDescent="0.25">
      <c r="A556" s="11" t="s">
        <v>25</v>
      </c>
      <c r="B556" s="6" t="s">
        <v>615</v>
      </c>
      <c r="C556" s="9">
        <v>85.34</v>
      </c>
      <c r="D556" s="6"/>
      <c r="E556" s="8">
        <v>0.04</v>
      </c>
      <c r="F556" s="49">
        <v>0</v>
      </c>
      <c r="G556" s="9">
        <v>0</v>
      </c>
      <c r="H556" s="9"/>
      <c r="I556" s="48"/>
      <c r="J556" s="78" cm="1">
        <f t="array" ref="J556">IF(H556&lt;12.5, H556/2,
IF(H556&lt;29, 6.25,
IF(H556&lt;50, 6.5,
IF(H556&lt;79, 6.75,
VALUE(SUBSTITUTE(
INDEX(RESUMO!$J$2:$J$100, MATCH(1,
(D556&gt;=RESUMO!$H$2:$H$100)*(D556&lt;=RESUMO!$I$2:$I$100)*(H556&gt;=RESUMO!$K$2:$K$100)*(H556&lt;=RESUMO!$L$2:$L$100),
0)), "R$ ", ""))
))))</f>
        <v>0</v>
      </c>
      <c r="K556" s="9"/>
      <c r="L556" s="10" t="e">
        <f t="shared" si="111"/>
        <v>#DIV/0!</v>
      </c>
      <c r="M556" s="7"/>
      <c r="N556" s="48"/>
      <c r="O556" s="78" cm="1">
        <f t="array" ref="O556">IF(M556&lt;12.5, 0,
IF(M556&lt;29, 6.25,
IF(M556&lt;50, 6.5,
IF(M556&lt;79, 6.75,
VALUE(SUBSTITUTE(
INDEX(RESUMO!$J$2:$J$100, MATCH(1,
(D556&gt;=RESUMO!$H$2:$H$100)*(D556&lt;=RESUMO!$I$2:$I$100)*(M556&gt;=RESUMO!$K$2:$K$100)*(M556&lt;=RESUMO!$L$2:$L$100),
0)), "R$ ", ""))
))))</f>
        <v>0</v>
      </c>
      <c r="P556" s="9"/>
      <c r="Q556" s="10" t="e">
        <f t="shared" si="112"/>
        <v>#DIV/0!</v>
      </c>
      <c r="R556" s="5">
        <f t="shared" si="113"/>
        <v>-3.4136000000000002</v>
      </c>
      <c r="S556" s="5">
        <f t="shared" si="114"/>
        <v>-88.753600000000006</v>
      </c>
      <c r="T556" s="5">
        <f t="shared" si="115"/>
        <v>-3.4136000000000002</v>
      </c>
      <c r="U556" s="5">
        <f t="shared" si="116"/>
        <v>-88.753600000000006</v>
      </c>
    </row>
    <row r="557" spans="1:21" x14ac:dyDescent="0.25">
      <c r="A557" s="11" t="s">
        <v>25</v>
      </c>
      <c r="B557" s="6" t="s">
        <v>616</v>
      </c>
      <c r="C557" s="9">
        <v>85.34</v>
      </c>
      <c r="D557" s="6"/>
      <c r="E557" s="8">
        <v>0.04</v>
      </c>
      <c r="F557" s="49">
        <v>0</v>
      </c>
      <c r="G557" s="9">
        <v>0</v>
      </c>
      <c r="H557" s="9"/>
      <c r="I557" s="48"/>
      <c r="J557" s="78" cm="1">
        <f t="array" ref="J557">IF(H557&lt;12.5, H557/2,
IF(H557&lt;29, 6.25,
IF(H557&lt;50, 6.5,
IF(H557&lt;79, 6.75,
VALUE(SUBSTITUTE(
INDEX(RESUMO!$J$2:$J$100, MATCH(1,
(D557&gt;=RESUMO!$H$2:$H$100)*(D557&lt;=RESUMO!$I$2:$I$100)*(H557&gt;=RESUMO!$K$2:$K$100)*(H557&lt;=RESUMO!$L$2:$L$100),
0)), "R$ ", ""))
))))</f>
        <v>0</v>
      </c>
      <c r="K557" s="9"/>
      <c r="L557" s="10" t="e">
        <f t="shared" si="111"/>
        <v>#DIV/0!</v>
      </c>
      <c r="M557" s="7"/>
      <c r="N557" s="48"/>
      <c r="O557" s="78" cm="1">
        <f t="array" ref="O557">IF(M557&lt;12.5, 0,
IF(M557&lt;29, 6.25,
IF(M557&lt;50, 6.5,
IF(M557&lt;79, 6.75,
VALUE(SUBSTITUTE(
INDEX(RESUMO!$J$2:$J$100, MATCH(1,
(D557&gt;=RESUMO!$H$2:$H$100)*(D557&lt;=RESUMO!$I$2:$I$100)*(M557&gt;=RESUMO!$K$2:$K$100)*(M557&lt;=RESUMO!$L$2:$L$100),
0)), "R$ ", ""))
))))</f>
        <v>0</v>
      </c>
      <c r="P557" s="9"/>
      <c r="Q557" s="10" t="e">
        <f t="shared" si="112"/>
        <v>#DIV/0!</v>
      </c>
      <c r="R557" s="5">
        <f t="shared" si="113"/>
        <v>-3.4136000000000002</v>
      </c>
      <c r="S557" s="5">
        <f t="shared" si="114"/>
        <v>-88.753600000000006</v>
      </c>
      <c r="T557" s="5">
        <f t="shared" si="115"/>
        <v>-3.4136000000000002</v>
      </c>
      <c r="U557" s="5">
        <f t="shared" si="116"/>
        <v>-88.753600000000006</v>
      </c>
    </row>
    <row r="558" spans="1:21" x14ac:dyDescent="0.25">
      <c r="A558" s="11" t="s">
        <v>25</v>
      </c>
      <c r="B558" s="6" t="s">
        <v>617</v>
      </c>
      <c r="C558" s="9">
        <v>88.04</v>
      </c>
      <c r="D558" s="6"/>
      <c r="E558" s="8">
        <v>0.04</v>
      </c>
      <c r="F558" s="49">
        <v>0</v>
      </c>
      <c r="G558" s="9">
        <v>0</v>
      </c>
      <c r="H558" s="9"/>
      <c r="I558" s="48"/>
      <c r="J558" s="78" cm="1">
        <f t="array" ref="J558">IF(H558&lt;12.5, H558/2,
IF(H558&lt;29, 6.25,
IF(H558&lt;50, 6.5,
IF(H558&lt;79, 6.75,
VALUE(SUBSTITUTE(
INDEX(RESUMO!$J$2:$J$100, MATCH(1,
(D558&gt;=RESUMO!$H$2:$H$100)*(D558&lt;=RESUMO!$I$2:$I$100)*(H558&gt;=RESUMO!$K$2:$K$100)*(H558&lt;=RESUMO!$L$2:$L$100),
0)), "R$ ", ""))
))))</f>
        <v>0</v>
      </c>
      <c r="K558" s="9"/>
      <c r="L558" s="10" t="e">
        <f t="shared" si="111"/>
        <v>#DIV/0!</v>
      </c>
      <c r="M558" s="7"/>
      <c r="N558" s="48"/>
      <c r="O558" s="78" cm="1">
        <f t="array" ref="O558">IF(M558&lt;12.5, 0,
IF(M558&lt;29, 6.25,
IF(M558&lt;50, 6.5,
IF(M558&lt;79, 6.75,
VALUE(SUBSTITUTE(
INDEX(RESUMO!$J$2:$J$100, MATCH(1,
(D558&gt;=RESUMO!$H$2:$H$100)*(D558&lt;=RESUMO!$I$2:$I$100)*(M558&gt;=RESUMO!$K$2:$K$100)*(M558&lt;=RESUMO!$L$2:$L$100),
0)), "R$ ", ""))
))))</f>
        <v>0</v>
      </c>
      <c r="P558" s="9"/>
      <c r="Q558" s="10" t="e">
        <f t="shared" si="112"/>
        <v>#DIV/0!</v>
      </c>
      <c r="R558" s="5">
        <f t="shared" si="113"/>
        <v>-3.5216000000000003</v>
      </c>
      <c r="S558" s="5">
        <f t="shared" si="114"/>
        <v>-91.561600000000013</v>
      </c>
      <c r="T558" s="5">
        <f t="shared" si="115"/>
        <v>-3.5216000000000003</v>
      </c>
      <c r="U558" s="5">
        <f t="shared" si="116"/>
        <v>-91.561600000000013</v>
      </c>
    </row>
    <row r="559" spans="1:21" x14ac:dyDescent="0.25">
      <c r="A559" s="11" t="s">
        <v>25</v>
      </c>
      <c r="B559" s="6" t="s">
        <v>618</v>
      </c>
      <c r="C559" s="9">
        <v>88.04</v>
      </c>
      <c r="D559" s="6"/>
      <c r="E559" s="8">
        <v>0.04</v>
      </c>
      <c r="F559" s="49">
        <v>0</v>
      </c>
      <c r="G559" s="9">
        <v>0</v>
      </c>
      <c r="H559" s="9"/>
      <c r="I559" s="48"/>
      <c r="J559" s="78" cm="1">
        <f t="array" ref="J559">IF(H559&lt;12.5, H559/2,
IF(H559&lt;29, 6.25,
IF(H559&lt;50, 6.5,
IF(H559&lt;79, 6.75,
VALUE(SUBSTITUTE(
INDEX(RESUMO!$J$2:$J$100, MATCH(1,
(D559&gt;=RESUMO!$H$2:$H$100)*(D559&lt;=RESUMO!$I$2:$I$100)*(H559&gt;=RESUMO!$K$2:$K$100)*(H559&lt;=RESUMO!$L$2:$L$100),
0)), "R$ ", ""))
))))</f>
        <v>0</v>
      </c>
      <c r="K559" s="9"/>
      <c r="L559" s="10" t="e">
        <f t="shared" si="111"/>
        <v>#DIV/0!</v>
      </c>
      <c r="M559" s="7"/>
      <c r="N559" s="48"/>
      <c r="O559" s="78" cm="1">
        <f t="array" ref="O559">IF(M559&lt;12.5, 0,
IF(M559&lt;29, 6.25,
IF(M559&lt;50, 6.5,
IF(M559&lt;79, 6.75,
VALUE(SUBSTITUTE(
INDEX(RESUMO!$J$2:$J$100, MATCH(1,
(D559&gt;=RESUMO!$H$2:$H$100)*(D559&lt;=RESUMO!$I$2:$I$100)*(M559&gt;=RESUMO!$K$2:$K$100)*(M559&lt;=RESUMO!$L$2:$L$100),
0)), "R$ ", ""))
))))</f>
        <v>0</v>
      </c>
      <c r="P559" s="9"/>
      <c r="Q559" s="10" t="e">
        <f t="shared" si="112"/>
        <v>#DIV/0!</v>
      </c>
      <c r="R559" s="5">
        <f t="shared" si="113"/>
        <v>-3.5216000000000003</v>
      </c>
      <c r="S559" s="5">
        <f t="shared" si="114"/>
        <v>-91.561600000000013</v>
      </c>
      <c r="T559" s="5">
        <f t="shared" si="115"/>
        <v>-3.5216000000000003</v>
      </c>
      <c r="U559" s="5">
        <f t="shared" si="116"/>
        <v>-91.561600000000013</v>
      </c>
    </row>
    <row r="560" spans="1:21" x14ac:dyDescent="0.25">
      <c r="A560" s="11"/>
      <c r="B560" s="6" t="s">
        <v>619</v>
      </c>
      <c r="C560" s="9">
        <v>162.19</v>
      </c>
      <c r="D560" s="6"/>
      <c r="E560" s="8">
        <v>0.04</v>
      </c>
      <c r="F560" s="49">
        <v>0</v>
      </c>
      <c r="G560" s="9">
        <v>0</v>
      </c>
      <c r="H560" s="9"/>
      <c r="I560" s="48"/>
      <c r="J560" s="78" cm="1">
        <f t="array" ref="J560">IF(H560&lt;12.5, H560/2,
IF(H560&lt;29, 6.25,
IF(H560&lt;50, 6.5,
IF(H560&lt;79, 6.75,
VALUE(SUBSTITUTE(
INDEX(RESUMO!$J$2:$J$100, MATCH(1,
(D560&gt;=RESUMO!$H$2:$H$100)*(D560&lt;=RESUMO!$I$2:$I$100)*(H560&gt;=RESUMO!$K$2:$K$100)*(H560&lt;=RESUMO!$L$2:$L$100),
0)), "R$ ", ""))
))))</f>
        <v>0</v>
      </c>
      <c r="K560" s="9"/>
      <c r="L560" s="10" t="e">
        <f t="shared" si="111"/>
        <v>#DIV/0!</v>
      </c>
      <c r="M560" s="7"/>
      <c r="N560" s="48"/>
      <c r="O560" s="78" cm="1">
        <f t="array" ref="O560">IF(M560&lt;12.5, 0,
IF(M560&lt;29, 6.25,
IF(M560&lt;50, 6.5,
IF(M560&lt;79, 6.75,
VALUE(SUBSTITUTE(
INDEX(RESUMO!$J$2:$J$100, MATCH(1,
(D560&gt;=RESUMO!$H$2:$H$100)*(D560&lt;=RESUMO!$I$2:$I$100)*(M560&gt;=RESUMO!$K$2:$K$100)*(M560&lt;=RESUMO!$L$2:$L$100),
0)), "R$ ", ""))
))))</f>
        <v>0</v>
      </c>
      <c r="P560" s="9"/>
      <c r="Q560" s="10" t="e">
        <f t="shared" si="112"/>
        <v>#DIV/0!</v>
      </c>
      <c r="R560" s="5">
        <f t="shared" si="113"/>
        <v>-6.4876000000000005</v>
      </c>
      <c r="S560" s="5">
        <f t="shared" si="114"/>
        <v>-168.67759999999998</v>
      </c>
      <c r="T560" s="5">
        <f t="shared" si="115"/>
        <v>-6.4876000000000005</v>
      </c>
      <c r="U560" s="5">
        <f t="shared" si="116"/>
        <v>-168.67759999999998</v>
      </c>
    </row>
    <row r="561" spans="1:21" x14ac:dyDescent="0.25">
      <c r="A561" s="11"/>
      <c r="B561" s="6" t="s">
        <v>620</v>
      </c>
      <c r="C561" s="9">
        <v>162.19</v>
      </c>
      <c r="D561" s="6"/>
      <c r="E561" s="8">
        <v>0.04</v>
      </c>
      <c r="F561" s="49">
        <v>0</v>
      </c>
      <c r="G561" s="9">
        <v>0</v>
      </c>
      <c r="H561" s="9"/>
      <c r="I561" s="48"/>
      <c r="J561" s="78" cm="1">
        <f t="array" ref="J561">IF(H561&lt;12.5, H561/2,
IF(H561&lt;29, 6.25,
IF(H561&lt;50, 6.5,
IF(H561&lt;79, 6.75,
VALUE(SUBSTITUTE(
INDEX(RESUMO!$J$2:$J$100, MATCH(1,
(D561&gt;=RESUMO!$H$2:$H$100)*(D561&lt;=RESUMO!$I$2:$I$100)*(H561&gt;=RESUMO!$K$2:$K$100)*(H561&lt;=RESUMO!$L$2:$L$100),
0)), "R$ ", ""))
))))</f>
        <v>0</v>
      </c>
      <c r="K561" s="9"/>
      <c r="L561" s="10" t="e">
        <f t="shared" si="111"/>
        <v>#DIV/0!</v>
      </c>
      <c r="M561" s="7"/>
      <c r="N561" s="48"/>
      <c r="O561" s="78" cm="1">
        <f t="array" ref="O561">IF(M561&lt;12.5, 0,
IF(M561&lt;29, 6.25,
IF(M561&lt;50, 6.5,
IF(M561&lt;79, 6.75,
VALUE(SUBSTITUTE(
INDEX(RESUMO!$J$2:$J$100, MATCH(1,
(D561&gt;=RESUMO!$H$2:$H$100)*(D561&lt;=RESUMO!$I$2:$I$100)*(M561&gt;=RESUMO!$K$2:$K$100)*(M561&lt;=RESUMO!$L$2:$L$100),
0)), "R$ ", ""))
))))</f>
        <v>0</v>
      </c>
      <c r="P561" s="9"/>
      <c r="Q561" s="10" t="e">
        <f t="shared" si="112"/>
        <v>#DIV/0!</v>
      </c>
      <c r="R561" s="5">
        <f t="shared" si="113"/>
        <v>-6.4876000000000005</v>
      </c>
      <c r="S561" s="5">
        <f t="shared" si="114"/>
        <v>-168.67759999999998</v>
      </c>
      <c r="T561" s="5">
        <f t="shared" si="115"/>
        <v>-6.4876000000000005</v>
      </c>
      <c r="U561" s="5">
        <f t="shared" si="116"/>
        <v>-168.67759999999998</v>
      </c>
    </row>
    <row r="562" spans="1:21" x14ac:dyDescent="0.25">
      <c r="A562" s="11"/>
      <c r="B562" s="6" t="s">
        <v>529</v>
      </c>
      <c r="C562" s="9">
        <v>103.56</v>
      </c>
      <c r="D562" s="6"/>
      <c r="E562" s="8">
        <v>0.04</v>
      </c>
      <c r="F562" s="49">
        <v>0</v>
      </c>
      <c r="G562" s="9">
        <v>0</v>
      </c>
      <c r="H562" s="9"/>
      <c r="I562" s="48"/>
      <c r="J562" s="78" cm="1">
        <f t="array" ref="J562">IF(H562&lt;12.5, H562/2,
IF(H562&lt;29, 6.25,
IF(H562&lt;50, 6.5,
IF(H562&lt;79, 6.75,
VALUE(SUBSTITUTE(
INDEX(RESUMO!$J$2:$J$100, MATCH(1,
(D562&gt;=RESUMO!$H$2:$H$100)*(D562&lt;=RESUMO!$I$2:$I$100)*(H562&gt;=RESUMO!$K$2:$K$100)*(H562&lt;=RESUMO!$L$2:$L$100),
0)), "R$ ", ""))
))))</f>
        <v>0</v>
      </c>
      <c r="K562" s="9"/>
      <c r="L562" s="10" t="e">
        <f t="shared" si="111"/>
        <v>#DIV/0!</v>
      </c>
      <c r="M562" s="7"/>
      <c r="N562" s="48"/>
      <c r="O562" s="78" cm="1">
        <f t="array" ref="O562">IF(M562&lt;12.5, 0,
IF(M562&lt;29, 6.25,
IF(M562&lt;50, 6.5,
IF(M562&lt;79, 6.75,
VALUE(SUBSTITUTE(
INDEX(RESUMO!$J$2:$J$100, MATCH(1,
(D562&gt;=RESUMO!$H$2:$H$100)*(D562&lt;=RESUMO!$I$2:$I$100)*(M562&gt;=RESUMO!$K$2:$K$100)*(M562&lt;=RESUMO!$L$2:$L$100),
0)), "R$ ", ""))
))))</f>
        <v>0</v>
      </c>
      <c r="P562" s="9"/>
      <c r="Q562" s="10" t="e">
        <f t="shared" si="112"/>
        <v>#DIV/0!</v>
      </c>
      <c r="R562" s="5">
        <f t="shared" si="113"/>
        <v>-4.1424000000000003</v>
      </c>
      <c r="S562" s="5">
        <f t="shared" si="114"/>
        <v>-107.7024</v>
      </c>
      <c r="T562" s="5">
        <f t="shared" si="115"/>
        <v>-4.1424000000000003</v>
      </c>
      <c r="U562" s="5">
        <f t="shared" si="116"/>
        <v>-107.7024</v>
      </c>
    </row>
    <row r="563" spans="1:21" x14ac:dyDescent="0.25">
      <c r="A563" s="11"/>
      <c r="B563" s="6" t="s">
        <v>621</v>
      </c>
      <c r="C563" s="9">
        <v>264.66000000000003</v>
      </c>
      <c r="D563" s="6"/>
      <c r="E563" s="8">
        <v>0.04</v>
      </c>
      <c r="F563" s="49">
        <v>0</v>
      </c>
      <c r="G563" s="9">
        <v>0</v>
      </c>
      <c r="H563" s="9"/>
      <c r="I563" s="48"/>
      <c r="J563" s="78" cm="1">
        <f t="array" ref="J563">IF(H563&lt;12.5, H563/2,
IF(H563&lt;29, 6.25,
IF(H563&lt;50, 6.5,
IF(H563&lt;79, 6.75,
VALUE(SUBSTITUTE(
INDEX(RESUMO!$J$2:$J$100, MATCH(1,
(D563&gt;=RESUMO!$H$2:$H$100)*(D563&lt;=RESUMO!$I$2:$I$100)*(H563&gt;=RESUMO!$K$2:$K$100)*(H563&lt;=RESUMO!$L$2:$L$100),
0)), "R$ ", ""))
))))</f>
        <v>0</v>
      </c>
      <c r="K563" s="9"/>
      <c r="L563" s="10" t="e">
        <f t="shared" si="111"/>
        <v>#DIV/0!</v>
      </c>
      <c r="M563" s="7"/>
      <c r="N563" s="48"/>
      <c r="O563" s="78" cm="1">
        <f t="array" ref="O563">IF(M563&lt;12.5, 0,
IF(M563&lt;29, 6.25,
IF(M563&lt;50, 6.5,
IF(M563&lt;79, 6.75,
VALUE(SUBSTITUTE(
INDEX(RESUMO!$J$2:$J$100, MATCH(1,
(D563&gt;=RESUMO!$H$2:$H$100)*(D563&lt;=RESUMO!$I$2:$I$100)*(M563&gt;=RESUMO!$K$2:$K$100)*(M563&lt;=RESUMO!$L$2:$L$100),
0)), "R$ ", ""))
))))</f>
        <v>0</v>
      </c>
      <c r="P563" s="9"/>
      <c r="Q563" s="10" t="e">
        <f t="shared" si="112"/>
        <v>#DIV/0!</v>
      </c>
      <c r="R563" s="5">
        <f t="shared" si="113"/>
        <v>-10.586400000000001</v>
      </c>
      <c r="S563" s="5">
        <f t="shared" si="114"/>
        <v>-275.24640000000005</v>
      </c>
      <c r="T563" s="5">
        <f t="shared" si="115"/>
        <v>-10.586400000000001</v>
      </c>
      <c r="U563" s="5">
        <f t="shared" si="116"/>
        <v>-275.24640000000005</v>
      </c>
    </row>
    <row r="564" spans="1:21" x14ac:dyDescent="0.25">
      <c r="A564" s="11"/>
      <c r="B564" s="6" t="s">
        <v>622</v>
      </c>
      <c r="C564" s="9">
        <v>121.67</v>
      </c>
      <c r="D564" s="6"/>
      <c r="E564" s="8">
        <v>0.04</v>
      </c>
      <c r="F564" s="49">
        <v>0</v>
      </c>
      <c r="G564" s="9">
        <v>0</v>
      </c>
      <c r="H564" s="9"/>
      <c r="I564" s="48"/>
      <c r="J564" s="78" cm="1">
        <f t="array" ref="J564">IF(H564&lt;12.5, H564/2,
IF(H564&lt;29, 6.25,
IF(H564&lt;50, 6.5,
IF(H564&lt;79, 6.75,
VALUE(SUBSTITUTE(
INDEX(RESUMO!$J$2:$J$100, MATCH(1,
(D564&gt;=RESUMO!$H$2:$H$100)*(D564&lt;=RESUMO!$I$2:$I$100)*(H564&gt;=RESUMO!$K$2:$K$100)*(H564&lt;=RESUMO!$L$2:$L$100),
0)), "R$ ", ""))
))))</f>
        <v>0</v>
      </c>
      <c r="K564" s="9"/>
      <c r="L564" s="10" t="e">
        <f t="shared" si="111"/>
        <v>#DIV/0!</v>
      </c>
      <c r="M564" s="7"/>
      <c r="N564" s="48"/>
      <c r="O564" s="78" cm="1">
        <f t="array" ref="O564">IF(M564&lt;12.5, 0,
IF(M564&lt;29, 6.25,
IF(M564&lt;50, 6.5,
IF(M564&lt;79, 6.75,
VALUE(SUBSTITUTE(
INDEX(RESUMO!$J$2:$J$100, MATCH(1,
(D564&gt;=RESUMO!$H$2:$H$100)*(D564&lt;=RESUMO!$I$2:$I$100)*(M564&gt;=RESUMO!$K$2:$K$100)*(M564&lt;=RESUMO!$L$2:$L$100),
0)), "R$ ", ""))
))))</f>
        <v>0</v>
      </c>
      <c r="P564" s="9"/>
      <c r="Q564" s="10" t="e">
        <f t="shared" si="112"/>
        <v>#DIV/0!</v>
      </c>
      <c r="R564" s="5">
        <f t="shared" si="113"/>
        <v>-4.8668000000000005</v>
      </c>
      <c r="S564" s="5">
        <f t="shared" si="114"/>
        <v>-126.5368</v>
      </c>
      <c r="T564" s="5">
        <f t="shared" si="115"/>
        <v>-4.8668000000000005</v>
      </c>
      <c r="U564" s="5">
        <f t="shared" si="116"/>
        <v>-126.5368</v>
      </c>
    </row>
    <row r="565" spans="1:21" x14ac:dyDescent="0.25">
      <c r="A565" s="11"/>
      <c r="B565" s="6" t="s">
        <v>623</v>
      </c>
      <c r="C565" s="9">
        <v>121.67</v>
      </c>
      <c r="D565" s="6"/>
      <c r="E565" s="8">
        <v>0.04</v>
      </c>
      <c r="F565" s="49">
        <v>0</v>
      </c>
      <c r="G565" s="9">
        <v>0</v>
      </c>
      <c r="H565" s="9"/>
      <c r="I565" s="48"/>
      <c r="J565" s="78" cm="1">
        <f t="array" ref="J565">IF(H565&lt;12.5, H565/2,
IF(H565&lt;29, 6.25,
IF(H565&lt;50, 6.5,
IF(H565&lt;79, 6.75,
VALUE(SUBSTITUTE(
INDEX(RESUMO!$J$2:$J$100, MATCH(1,
(D565&gt;=RESUMO!$H$2:$H$100)*(D565&lt;=RESUMO!$I$2:$I$100)*(H565&gt;=RESUMO!$K$2:$K$100)*(H565&lt;=RESUMO!$L$2:$L$100),
0)), "R$ ", ""))
))))</f>
        <v>0</v>
      </c>
      <c r="K565" s="9"/>
      <c r="L565" s="10" t="e">
        <f t="shared" si="111"/>
        <v>#DIV/0!</v>
      </c>
      <c r="M565" s="7"/>
      <c r="N565" s="48"/>
      <c r="O565" s="78" cm="1">
        <f t="array" ref="O565">IF(M565&lt;12.5, 0,
IF(M565&lt;29, 6.25,
IF(M565&lt;50, 6.5,
IF(M565&lt;79, 6.75,
VALUE(SUBSTITUTE(
INDEX(RESUMO!$J$2:$J$100, MATCH(1,
(D565&gt;=RESUMO!$H$2:$H$100)*(D565&lt;=RESUMO!$I$2:$I$100)*(M565&gt;=RESUMO!$K$2:$K$100)*(M565&lt;=RESUMO!$L$2:$L$100),
0)), "R$ ", ""))
))))</f>
        <v>0</v>
      </c>
      <c r="P565" s="9"/>
      <c r="Q565" s="10" t="e">
        <f t="shared" si="112"/>
        <v>#DIV/0!</v>
      </c>
      <c r="R565" s="5">
        <f t="shared" si="113"/>
        <v>-4.8668000000000005</v>
      </c>
      <c r="S565" s="5">
        <f t="shared" si="114"/>
        <v>-126.5368</v>
      </c>
      <c r="T565" s="5">
        <f t="shared" si="115"/>
        <v>-4.8668000000000005</v>
      </c>
      <c r="U565" s="5">
        <f t="shared" si="116"/>
        <v>-126.5368</v>
      </c>
    </row>
    <row r="566" spans="1:21" x14ac:dyDescent="0.25">
      <c r="A566" s="11"/>
      <c r="B566" s="6" t="s">
        <v>624</v>
      </c>
      <c r="C566" s="9">
        <v>68.53</v>
      </c>
      <c r="D566" s="6"/>
      <c r="E566" s="8">
        <v>0.04</v>
      </c>
      <c r="F566" s="49">
        <v>0</v>
      </c>
      <c r="G566" s="9">
        <v>0</v>
      </c>
      <c r="H566" s="9"/>
      <c r="I566" s="48"/>
      <c r="J566" s="78" cm="1">
        <f t="array" ref="J566">IF(H566&lt;12.5, H566/2,
IF(H566&lt;29, 6.25,
IF(H566&lt;50, 6.5,
IF(H566&lt;79, 6.75,
VALUE(SUBSTITUTE(
INDEX(RESUMO!$J$2:$J$100, MATCH(1,
(D566&gt;=RESUMO!$H$2:$H$100)*(D566&lt;=RESUMO!$I$2:$I$100)*(H566&gt;=RESUMO!$K$2:$K$100)*(H566&lt;=RESUMO!$L$2:$L$100),
0)), "R$ ", ""))
))))</f>
        <v>0</v>
      </c>
      <c r="K566" s="9"/>
      <c r="L566" s="10" t="e">
        <f t="shared" si="111"/>
        <v>#DIV/0!</v>
      </c>
      <c r="M566" s="7"/>
      <c r="N566" s="48"/>
      <c r="O566" s="78" cm="1">
        <f t="array" ref="O566">IF(M566&lt;12.5, 0,
IF(M566&lt;29, 6.25,
IF(M566&lt;50, 6.5,
IF(M566&lt;79, 6.75,
VALUE(SUBSTITUTE(
INDEX(RESUMO!$J$2:$J$100, MATCH(1,
(D566&gt;=RESUMO!$H$2:$H$100)*(D566&lt;=RESUMO!$I$2:$I$100)*(M566&gt;=RESUMO!$K$2:$K$100)*(M566&lt;=RESUMO!$L$2:$L$100),
0)), "R$ ", ""))
))))</f>
        <v>0</v>
      </c>
      <c r="P566" s="9"/>
      <c r="Q566" s="10" t="e">
        <f t="shared" si="112"/>
        <v>#DIV/0!</v>
      </c>
      <c r="R566" s="5">
        <f t="shared" si="113"/>
        <v>-2.7412000000000001</v>
      </c>
      <c r="S566" s="5">
        <f t="shared" si="114"/>
        <v>-71.271200000000007</v>
      </c>
      <c r="T566" s="5">
        <f t="shared" si="115"/>
        <v>-2.7412000000000001</v>
      </c>
      <c r="U566" s="5">
        <f t="shared" si="116"/>
        <v>-71.271200000000007</v>
      </c>
    </row>
    <row r="567" spans="1:21" x14ac:dyDescent="0.25">
      <c r="A567" s="11"/>
      <c r="B567" s="6" t="s">
        <v>625</v>
      </c>
      <c r="C567" s="9">
        <v>114.22</v>
      </c>
      <c r="D567" s="6"/>
      <c r="E567" s="8">
        <v>0.04</v>
      </c>
      <c r="F567" s="49">
        <v>0</v>
      </c>
      <c r="G567" s="9">
        <v>0</v>
      </c>
      <c r="H567" s="9"/>
      <c r="I567" s="48"/>
      <c r="J567" s="78" cm="1">
        <f t="array" ref="J567">IF(H567&lt;12.5, H567/2,
IF(H567&lt;29, 6.25,
IF(H567&lt;50, 6.5,
IF(H567&lt;79, 6.75,
VALUE(SUBSTITUTE(
INDEX(RESUMO!$J$2:$J$100, MATCH(1,
(D567&gt;=RESUMO!$H$2:$H$100)*(D567&lt;=RESUMO!$I$2:$I$100)*(H567&gt;=RESUMO!$K$2:$K$100)*(H567&lt;=RESUMO!$L$2:$L$100),
0)), "R$ ", ""))
))))</f>
        <v>0</v>
      </c>
      <c r="K567" s="9"/>
      <c r="L567" s="10" t="e">
        <f t="shared" si="111"/>
        <v>#DIV/0!</v>
      </c>
      <c r="M567" s="7"/>
      <c r="N567" s="48"/>
      <c r="O567" s="78" cm="1">
        <f t="array" ref="O567">IF(M567&lt;12.5, 0,
IF(M567&lt;29, 6.25,
IF(M567&lt;50, 6.5,
IF(M567&lt;79, 6.75,
VALUE(SUBSTITUTE(
INDEX(RESUMO!$J$2:$J$100, MATCH(1,
(D567&gt;=RESUMO!$H$2:$H$100)*(D567&lt;=RESUMO!$I$2:$I$100)*(M567&gt;=RESUMO!$K$2:$K$100)*(M567&lt;=RESUMO!$L$2:$L$100),
0)), "R$ ", ""))
))))</f>
        <v>0</v>
      </c>
      <c r="P567" s="9"/>
      <c r="Q567" s="10" t="e">
        <f t="shared" si="112"/>
        <v>#DIV/0!</v>
      </c>
      <c r="R567" s="5">
        <f t="shared" si="113"/>
        <v>-4.5688000000000004</v>
      </c>
      <c r="S567" s="5">
        <f t="shared" si="114"/>
        <v>-118.78879999999999</v>
      </c>
      <c r="T567" s="5">
        <f t="shared" si="115"/>
        <v>-4.5688000000000004</v>
      </c>
      <c r="U567" s="5">
        <f t="shared" si="116"/>
        <v>-118.78879999999999</v>
      </c>
    </row>
    <row r="568" spans="1:21" x14ac:dyDescent="0.25">
      <c r="A568" s="11"/>
      <c r="B568" s="6" t="s">
        <v>626</v>
      </c>
      <c r="C568" s="9">
        <v>114.22</v>
      </c>
      <c r="D568" s="6"/>
      <c r="E568" s="8">
        <v>0.04</v>
      </c>
      <c r="F568" s="49">
        <v>0</v>
      </c>
      <c r="G568" s="9">
        <v>0</v>
      </c>
      <c r="H568" s="9"/>
      <c r="I568" s="48"/>
      <c r="J568" s="78" cm="1">
        <f t="array" ref="J568">IF(H568&lt;12.5, H568/2,
IF(H568&lt;29, 6.25,
IF(H568&lt;50, 6.5,
IF(H568&lt;79, 6.75,
VALUE(SUBSTITUTE(
INDEX(RESUMO!$J$2:$J$100, MATCH(1,
(D568&gt;=RESUMO!$H$2:$H$100)*(D568&lt;=RESUMO!$I$2:$I$100)*(H568&gt;=RESUMO!$K$2:$K$100)*(H568&lt;=RESUMO!$L$2:$L$100),
0)), "R$ ", ""))
))))</f>
        <v>0</v>
      </c>
      <c r="K568" s="9"/>
      <c r="L568" s="10" t="e">
        <f t="shared" si="111"/>
        <v>#DIV/0!</v>
      </c>
      <c r="M568" s="7"/>
      <c r="N568" s="48"/>
      <c r="O568" s="78" cm="1">
        <f t="array" ref="O568">IF(M568&lt;12.5, 0,
IF(M568&lt;29, 6.25,
IF(M568&lt;50, 6.5,
IF(M568&lt;79, 6.75,
VALUE(SUBSTITUTE(
INDEX(RESUMO!$J$2:$J$100, MATCH(1,
(D568&gt;=RESUMO!$H$2:$H$100)*(D568&lt;=RESUMO!$I$2:$I$100)*(M568&gt;=RESUMO!$K$2:$K$100)*(M568&lt;=RESUMO!$L$2:$L$100),
0)), "R$ ", ""))
))))</f>
        <v>0</v>
      </c>
      <c r="P568" s="9"/>
      <c r="Q568" s="10" t="e">
        <f t="shared" si="112"/>
        <v>#DIV/0!</v>
      </c>
      <c r="R568" s="5">
        <f t="shared" si="113"/>
        <v>-4.5688000000000004</v>
      </c>
      <c r="S568" s="5">
        <f t="shared" si="114"/>
        <v>-118.78879999999999</v>
      </c>
      <c r="T568" s="5">
        <f t="shared" si="115"/>
        <v>-4.5688000000000004</v>
      </c>
      <c r="U568" s="5">
        <f t="shared" si="116"/>
        <v>-118.78879999999999</v>
      </c>
    </row>
    <row r="569" spans="1:21" x14ac:dyDescent="0.25">
      <c r="A569" s="11"/>
      <c r="B569" s="6" t="s">
        <v>627</v>
      </c>
      <c r="C569" s="9">
        <v>53.94</v>
      </c>
      <c r="D569" s="6"/>
      <c r="E569" s="8">
        <v>0.04</v>
      </c>
      <c r="F569" s="49">
        <v>0</v>
      </c>
      <c r="G569" s="9">
        <v>0</v>
      </c>
      <c r="H569" s="9"/>
      <c r="I569" s="48"/>
      <c r="J569" s="78" cm="1">
        <f t="array" ref="J569">IF(H569&lt;12.5, H569/2,
IF(H569&lt;29, 6.25,
IF(H569&lt;50, 6.5,
IF(H569&lt;79, 6.75,
VALUE(SUBSTITUTE(
INDEX(RESUMO!$J$2:$J$100, MATCH(1,
(D569&gt;=RESUMO!$H$2:$H$100)*(D569&lt;=RESUMO!$I$2:$I$100)*(H569&gt;=RESUMO!$K$2:$K$100)*(H569&lt;=RESUMO!$L$2:$L$100),
0)), "R$ ", ""))
))))</f>
        <v>0</v>
      </c>
      <c r="K569" s="9"/>
      <c r="L569" s="10" t="e">
        <f t="shared" si="111"/>
        <v>#DIV/0!</v>
      </c>
      <c r="M569" s="7"/>
      <c r="N569" s="48"/>
      <c r="O569" s="78" cm="1">
        <f t="array" ref="O569">IF(M569&lt;12.5, 0,
IF(M569&lt;29, 6.25,
IF(M569&lt;50, 6.5,
IF(M569&lt;79, 6.75,
VALUE(SUBSTITUTE(
INDEX(RESUMO!$J$2:$J$100, MATCH(1,
(D569&gt;=RESUMO!$H$2:$H$100)*(D569&lt;=RESUMO!$I$2:$I$100)*(M569&gt;=RESUMO!$K$2:$K$100)*(M569&lt;=RESUMO!$L$2:$L$100),
0)), "R$ ", ""))
))))</f>
        <v>0</v>
      </c>
      <c r="P569" s="9"/>
      <c r="Q569" s="10" t="e">
        <f t="shared" si="112"/>
        <v>#DIV/0!</v>
      </c>
      <c r="R569" s="5">
        <f t="shared" si="113"/>
        <v>-2.1576</v>
      </c>
      <c r="S569" s="5">
        <f t="shared" si="114"/>
        <v>-56.0976</v>
      </c>
      <c r="T569" s="5">
        <f t="shared" si="115"/>
        <v>-2.1576</v>
      </c>
      <c r="U569" s="5">
        <f t="shared" si="116"/>
        <v>-56.0976</v>
      </c>
    </row>
    <row r="570" spans="1:21" x14ac:dyDescent="0.25">
      <c r="A570" s="11"/>
      <c r="B570" s="6" t="s">
        <v>628</v>
      </c>
      <c r="C570" s="9">
        <v>104.47</v>
      </c>
      <c r="D570" s="6"/>
      <c r="E570" s="8">
        <v>0.04</v>
      </c>
      <c r="F570" s="49">
        <v>0</v>
      </c>
      <c r="G570" s="9">
        <v>0</v>
      </c>
      <c r="H570" s="9"/>
      <c r="I570" s="48"/>
      <c r="J570" s="78" cm="1">
        <f t="array" ref="J570">IF(H570&lt;12.5, H570/2,
IF(H570&lt;29, 6.25,
IF(H570&lt;50, 6.5,
IF(H570&lt;79, 6.75,
VALUE(SUBSTITUTE(
INDEX(RESUMO!$J$2:$J$100, MATCH(1,
(D570&gt;=RESUMO!$H$2:$H$100)*(D570&lt;=RESUMO!$I$2:$I$100)*(H570&gt;=RESUMO!$K$2:$K$100)*(H570&lt;=RESUMO!$L$2:$L$100),
0)), "R$ ", ""))
))))</f>
        <v>0</v>
      </c>
      <c r="K570" s="9"/>
      <c r="L570" s="10" t="e">
        <f t="shared" si="105"/>
        <v>#DIV/0!</v>
      </c>
      <c r="M570" s="7"/>
      <c r="N570" s="48"/>
      <c r="O570" s="78" cm="1">
        <f t="array" ref="O570">IF(M570&lt;12.5, 0,
IF(M570&lt;29, 6.25,
IF(M570&lt;50, 6.5,
IF(M570&lt;79, 6.75,
VALUE(SUBSTITUTE(
INDEX(RESUMO!$J$2:$J$100, MATCH(1,
(D570&gt;=RESUMO!$H$2:$H$100)*(D570&lt;=RESUMO!$I$2:$I$100)*(M570&gt;=RESUMO!$K$2:$K$100)*(M570&lt;=RESUMO!$L$2:$L$100),
0)), "R$ ", ""))
))))</f>
        <v>0</v>
      </c>
      <c r="P570" s="9"/>
      <c r="Q570" s="10" t="e">
        <f t="shared" si="106"/>
        <v>#DIV/0!</v>
      </c>
      <c r="R570" s="5">
        <f t="shared" si="107"/>
        <v>-4.1787999999999998</v>
      </c>
      <c r="S570" s="5">
        <f t="shared" si="108"/>
        <v>-108.64879999999999</v>
      </c>
      <c r="T570" s="5">
        <f t="shared" si="109"/>
        <v>-4.1787999999999998</v>
      </c>
      <c r="U570" s="5">
        <f t="shared" si="110"/>
        <v>-108.64879999999999</v>
      </c>
    </row>
    <row r="571" spans="1:21" x14ac:dyDescent="0.25">
      <c r="A571" s="11"/>
      <c r="B571" s="6" t="s">
        <v>629</v>
      </c>
      <c r="C571" s="9">
        <v>88.07</v>
      </c>
      <c r="D571" s="6"/>
      <c r="E571" s="8">
        <v>0.04</v>
      </c>
      <c r="F571" s="49">
        <v>0</v>
      </c>
      <c r="G571" s="9">
        <v>0</v>
      </c>
      <c r="H571" s="9"/>
      <c r="I571" s="48"/>
      <c r="J571" s="78" cm="1">
        <f t="array" ref="J571">IF(H571&lt;12.5, H571/2,
IF(H571&lt;29, 6.25,
IF(H571&lt;50, 6.5,
IF(H571&lt;79, 6.75,
VALUE(SUBSTITUTE(
INDEX(RESUMO!$J$2:$J$100, MATCH(1,
(D571&gt;=RESUMO!$H$2:$H$100)*(D571&lt;=RESUMO!$I$2:$I$100)*(H571&gt;=RESUMO!$K$2:$K$100)*(H571&lt;=RESUMO!$L$2:$L$100),
0)), "R$ ", ""))
))))</f>
        <v>0</v>
      </c>
      <c r="K571" s="9"/>
      <c r="L571" s="10" t="e">
        <f t="shared" si="105"/>
        <v>#DIV/0!</v>
      </c>
      <c r="M571" s="7"/>
      <c r="N571" s="48"/>
      <c r="O571" s="78" cm="1">
        <f t="array" ref="O571">IF(M571&lt;12.5, 0,
IF(M571&lt;29, 6.25,
IF(M571&lt;50, 6.5,
IF(M571&lt;79, 6.75,
VALUE(SUBSTITUTE(
INDEX(RESUMO!$J$2:$J$100, MATCH(1,
(D571&gt;=RESUMO!$H$2:$H$100)*(D571&lt;=RESUMO!$I$2:$I$100)*(M571&gt;=RESUMO!$K$2:$K$100)*(M571&lt;=RESUMO!$L$2:$L$100),
0)), "R$ ", ""))
))))</f>
        <v>0</v>
      </c>
      <c r="P571" s="9"/>
      <c r="Q571" s="10" t="e">
        <f t="shared" si="106"/>
        <v>#DIV/0!</v>
      </c>
      <c r="R571" s="5">
        <f t="shared" si="107"/>
        <v>-3.5227999999999997</v>
      </c>
      <c r="S571" s="5">
        <f t="shared" si="108"/>
        <v>-91.592799999999997</v>
      </c>
      <c r="T571" s="5">
        <f t="shared" si="109"/>
        <v>-3.5227999999999997</v>
      </c>
      <c r="U571" s="5">
        <f t="shared" si="110"/>
        <v>-91.592799999999997</v>
      </c>
    </row>
    <row r="572" spans="1:21" x14ac:dyDescent="0.25">
      <c r="A572" s="11"/>
      <c r="B572" s="6" t="s">
        <v>630</v>
      </c>
      <c r="C572" s="9">
        <v>375.68</v>
      </c>
      <c r="D572" s="6"/>
      <c r="E572" s="8">
        <v>0.04</v>
      </c>
      <c r="F572" s="49">
        <v>0</v>
      </c>
      <c r="G572" s="9">
        <v>0</v>
      </c>
      <c r="H572" s="9"/>
      <c r="I572" s="48"/>
      <c r="J572" s="78" cm="1">
        <f t="array" ref="J572">IF(H572&lt;12.5, H572/2,
IF(H572&lt;29, 6.25,
IF(H572&lt;50, 6.5,
IF(H572&lt;79, 6.75,
VALUE(SUBSTITUTE(
INDEX(RESUMO!$J$2:$J$100, MATCH(1,
(D572&gt;=RESUMO!$H$2:$H$100)*(D572&lt;=RESUMO!$I$2:$I$100)*(H572&gt;=RESUMO!$K$2:$K$100)*(H572&lt;=RESUMO!$L$2:$L$100),
0)), "R$ ", ""))
))))</f>
        <v>0</v>
      </c>
      <c r="K572" s="9"/>
      <c r="L572" s="10" t="e">
        <f t="shared" si="105"/>
        <v>#DIV/0!</v>
      </c>
      <c r="M572" s="7"/>
      <c r="N572" s="48"/>
      <c r="O572" s="78" cm="1">
        <f t="array" ref="O572">IF(M572&lt;12.5, 0,
IF(M572&lt;29, 6.25,
IF(M572&lt;50, 6.5,
IF(M572&lt;79, 6.75,
VALUE(SUBSTITUTE(
INDEX(RESUMO!$J$2:$J$100, MATCH(1,
(D572&gt;=RESUMO!$H$2:$H$100)*(D572&lt;=RESUMO!$I$2:$I$100)*(M572&gt;=RESUMO!$K$2:$K$100)*(M572&lt;=RESUMO!$L$2:$L$100),
0)), "R$ ", ""))
))))</f>
        <v>0</v>
      </c>
      <c r="P572" s="9"/>
      <c r="Q572" s="10" t="e">
        <f t="shared" si="106"/>
        <v>#DIV/0!</v>
      </c>
      <c r="R572" s="5">
        <f t="shared" si="107"/>
        <v>-15.027200000000001</v>
      </c>
      <c r="S572" s="5">
        <f t="shared" si="108"/>
        <v>-390.7072</v>
      </c>
      <c r="T572" s="5">
        <f t="shared" si="109"/>
        <v>-15.027200000000001</v>
      </c>
      <c r="U572" s="5">
        <f t="shared" si="110"/>
        <v>-390.7072</v>
      </c>
    </row>
    <row r="573" spans="1:21" x14ac:dyDescent="0.25">
      <c r="A573" s="11"/>
      <c r="B573" s="6" t="s">
        <v>631</v>
      </c>
      <c r="C573" s="9">
        <v>191.09</v>
      </c>
      <c r="D573" s="6"/>
      <c r="E573" s="8">
        <v>0.04</v>
      </c>
      <c r="F573" s="49">
        <v>0</v>
      </c>
      <c r="G573" s="9">
        <v>0</v>
      </c>
      <c r="H573" s="9"/>
      <c r="I573" s="48"/>
      <c r="J573" s="78" cm="1">
        <f t="array" ref="J573">IF(H573&lt;12.5, H573/2,
IF(H573&lt;29, 6.25,
IF(H573&lt;50, 6.5,
IF(H573&lt;79, 6.75,
VALUE(SUBSTITUTE(
INDEX(RESUMO!$J$2:$J$100, MATCH(1,
(D573&gt;=RESUMO!$H$2:$H$100)*(D573&lt;=RESUMO!$I$2:$I$100)*(H573&gt;=RESUMO!$K$2:$K$100)*(H573&lt;=RESUMO!$L$2:$L$100),
0)), "R$ ", ""))
))))</f>
        <v>0</v>
      </c>
      <c r="K573" s="9"/>
      <c r="L573" s="10" t="e">
        <f t="shared" si="105"/>
        <v>#DIV/0!</v>
      </c>
      <c r="M573" s="7"/>
      <c r="N573" s="48"/>
      <c r="O573" s="78" cm="1">
        <f t="array" ref="O573">IF(M573&lt;12.5, 0,
IF(M573&lt;29, 6.25,
IF(M573&lt;50, 6.5,
IF(M573&lt;79, 6.75,
VALUE(SUBSTITUTE(
INDEX(RESUMO!$J$2:$J$100, MATCH(1,
(D573&gt;=RESUMO!$H$2:$H$100)*(D573&lt;=RESUMO!$I$2:$I$100)*(M573&gt;=RESUMO!$K$2:$K$100)*(M573&lt;=RESUMO!$L$2:$L$100),
0)), "R$ ", ""))
))))</f>
        <v>0</v>
      </c>
      <c r="P573" s="9"/>
      <c r="Q573" s="10" t="e">
        <f t="shared" si="106"/>
        <v>#DIV/0!</v>
      </c>
      <c r="R573" s="5">
        <f t="shared" si="107"/>
        <v>-7.6436000000000002</v>
      </c>
      <c r="S573" s="5">
        <f t="shared" si="108"/>
        <v>-198.7336</v>
      </c>
      <c r="T573" s="5">
        <f t="shared" si="109"/>
        <v>-7.6436000000000002</v>
      </c>
      <c r="U573" s="5">
        <f t="shared" si="110"/>
        <v>-198.7336</v>
      </c>
    </row>
    <row r="574" spans="1:21" x14ac:dyDescent="0.25">
      <c r="A574" s="11"/>
      <c r="B574" s="6" t="s">
        <v>632</v>
      </c>
      <c r="C574" s="9">
        <v>71.2</v>
      </c>
      <c r="D574" s="6"/>
      <c r="E574" s="8">
        <v>0.04</v>
      </c>
      <c r="F574" s="49">
        <v>0</v>
      </c>
      <c r="G574" s="9">
        <v>0</v>
      </c>
      <c r="H574" s="9"/>
      <c r="I574" s="48"/>
      <c r="J574" s="78" cm="1">
        <f t="array" ref="J574">IF(H574&lt;12.5, H574/2,
IF(H574&lt;29, 6.25,
IF(H574&lt;50, 6.5,
IF(H574&lt;79, 6.75,
VALUE(SUBSTITUTE(
INDEX(RESUMO!$J$2:$J$100, MATCH(1,
(D574&gt;=RESUMO!$H$2:$H$100)*(D574&lt;=RESUMO!$I$2:$I$100)*(H574&gt;=RESUMO!$K$2:$K$100)*(H574&lt;=RESUMO!$L$2:$L$100),
0)), "R$ ", ""))
))))</f>
        <v>0</v>
      </c>
      <c r="K574" s="9"/>
      <c r="L574" s="10" t="e">
        <f t="shared" si="105"/>
        <v>#DIV/0!</v>
      </c>
      <c r="M574" s="7"/>
      <c r="N574" s="48"/>
      <c r="O574" s="78" cm="1">
        <f t="array" ref="O574">IF(M574&lt;12.5, 0,
IF(M574&lt;29, 6.25,
IF(M574&lt;50, 6.5,
IF(M574&lt;79, 6.75,
VALUE(SUBSTITUTE(
INDEX(RESUMO!$J$2:$J$100, MATCH(1,
(D574&gt;=RESUMO!$H$2:$H$100)*(D574&lt;=RESUMO!$I$2:$I$100)*(M574&gt;=RESUMO!$K$2:$K$100)*(M574&lt;=RESUMO!$L$2:$L$100),
0)), "R$ ", ""))
))))</f>
        <v>0</v>
      </c>
      <c r="P574" s="9"/>
      <c r="Q574" s="10" t="e">
        <f t="shared" si="106"/>
        <v>#DIV/0!</v>
      </c>
      <c r="R574" s="5">
        <f t="shared" si="107"/>
        <v>-2.8480000000000003</v>
      </c>
      <c r="S574" s="5">
        <f t="shared" si="108"/>
        <v>-74.048000000000002</v>
      </c>
      <c r="T574" s="5">
        <f t="shared" si="109"/>
        <v>-2.8480000000000003</v>
      </c>
      <c r="U574" s="5">
        <f t="shared" si="110"/>
        <v>-74.048000000000002</v>
      </c>
    </row>
    <row r="575" spans="1:21" x14ac:dyDescent="0.25">
      <c r="A575" s="11"/>
      <c r="B575" s="6" t="s">
        <v>633</v>
      </c>
      <c r="C575" s="9">
        <v>90.2</v>
      </c>
      <c r="D575" s="6"/>
      <c r="E575" s="8">
        <v>0.04</v>
      </c>
      <c r="F575" s="49">
        <v>0</v>
      </c>
      <c r="G575" s="9">
        <v>0</v>
      </c>
      <c r="H575" s="9"/>
      <c r="I575" s="48"/>
      <c r="J575" s="78" cm="1">
        <f t="array" ref="J575">IF(H575&lt;12.5, H575/2,
IF(H575&lt;29, 6.25,
IF(H575&lt;50, 6.5,
IF(H575&lt;79, 6.75,
VALUE(SUBSTITUTE(
INDEX(RESUMO!$J$2:$J$100, MATCH(1,
(D575&gt;=RESUMO!$H$2:$H$100)*(D575&lt;=RESUMO!$I$2:$I$100)*(H575&gt;=RESUMO!$K$2:$K$100)*(H575&lt;=RESUMO!$L$2:$L$100),
0)), "R$ ", ""))
))))</f>
        <v>0</v>
      </c>
      <c r="K575" s="9"/>
      <c r="L575" s="10" t="e">
        <f t="shared" si="105"/>
        <v>#DIV/0!</v>
      </c>
      <c r="M575" s="7"/>
      <c r="N575" s="48"/>
      <c r="O575" s="78" cm="1">
        <f t="array" ref="O575">IF(M575&lt;12.5, 0,
IF(M575&lt;29, 6.25,
IF(M575&lt;50, 6.5,
IF(M575&lt;79, 6.75,
VALUE(SUBSTITUTE(
INDEX(RESUMO!$J$2:$J$100, MATCH(1,
(D575&gt;=RESUMO!$H$2:$H$100)*(D575&lt;=RESUMO!$I$2:$I$100)*(M575&gt;=RESUMO!$K$2:$K$100)*(M575&lt;=RESUMO!$L$2:$L$100),
0)), "R$ ", ""))
))))</f>
        <v>0</v>
      </c>
      <c r="P575" s="9"/>
      <c r="Q575" s="10" t="e">
        <f t="shared" si="106"/>
        <v>#DIV/0!</v>
      </c>
      <c r="R575" s="5">
        <f t="shared" si="107"/>
        <v>-3.6080000000000001</v>
      </c>
      <c r="S575" s="5">
        <f t="shared" si="108"/>
        <v>-93.808000000000007</v>
      </c>
      <c r="T575" s="5">
        <f t="shared" si="109"/>
        <v>-3.6080000000000001</v>
      </c>
      <c r="U575" s="5">
        <f t="shared" si="110"/>
        <v>-93.808000000000007</v>
      </c>
    </row>
    <row r="576" spans="1:21" x14ac:dyDescent="0.25">
      <c r="A576" s="11"/>
      <c r="B576" s="6" t="s">
        <v>634</v>
      </c>
      <c r="C576" s="9">
        <v>114.88</v>
      </c>
      <c r="D576" s="6"/>
      <c r="E576" s="8">
        <v>0.04</v>
      </c>
      <c r="F576" s="49">
        <v>0</v>
      </c>
      <c r="G576" s="9">
        <v>0</v>
      </c>
      <c r="H576" s="9"/>
      <c r="I576" s="48"/>
      <c r="J576" s="78" cm="1">
        <f t="array" ref="J576">IF(H576&lt;12.5, H576/2,
IF(H576&lt;29, 6.25,
IF(H576&lt;50, 6.5,
IF(H576&lt;79, 6.75,
VALUE(SUBSTITUTE(
INDEX(RESUMO!$J$2:$J$100, MATCH(1,
(D576&gt;=RESUMO!$H$2:$H$100)*(D576&lt;=RESUMO!$I$2:$I$100)*(H576&gt;=RESUMO!$K$2:$K$100)*(H576&lt;=RESUMO!$L$2:$L$100),
0)), "R$ ", ""))
))))</f>
        <v>0</v>
      </c>
      <c r="K576" s="9"/>
      <c r="L576" s="10" t="e">
        <f t="shared" si="105"/>
        <v>#DIV/0!</v>
      </c>
      <c r="M576" s="7"/>
      <c r="N576" s="48"/>
      <c r="O576" s="78" cm="1">
        <f t="array" ref="O576">IF(M576&lt;12.5, 0,
IF(M576&lt;29, 6.25,
IF(M576&lt;50, 6.5,
IF(M576&lt;79, 6.75,
VALUE(SUBSTITUTE(
INDEX(RESUMO!$J$2:$J$100, MATCH(1,
(D576&gt;=RESUMO!$H$2:$H$100)*(D576&lt;=RESUMO!$I$2:$I$100)*(M576&gt;=RESUMO!$K$2:$K$100)*(M576&lt;=RESUMO!$L$2:$L$100),
0)), "R$ ", ""))
))))</f>
        <v>0</v>
      </c>
      <c r="P576" s="9"/>
      <c r="Q576" s="10" t="e">
        <f t="shared" si="106"/>
        <v>#DIV/0!</v>
      </c>
      <c r="R576" s="5">
        <f t="shared" si="107"/>
        <v>-4.5952000000000002</v>
      </c>
      <c r="S576" s="5">
        <f t="shared" si="108"/>
        <v>-119.4752</v>
      </c>
      <c r="T576" s="5">
        <f t="shared" si="109"/>
        <v>-4.5952000000000002</v>
      </c>
      <c r="U576" s="5">
        <f t="shared" si="110"/>
        <v>-119.4752</v>
      </c>
    </row>
    <row r="577" spans="1:21" x14ac:dyDescent="0.25">
      <c r="A577" s="11"/>
      <c r="B577" s="6" t="s">
        <v>635</v>
      </c>
      <c r="C577" s="9">
        <v>110.43</v>
      </c>
      <c r="D577" s="6"/>
      <c r="E577" s="8">
        <v>0.04</v>
      </c>
      <c r="F577" s="49">
        <v>0</v>
      </c>
      <c r="G577" s="9">
        <v>0</v>
      </c>
      <c r="H577" s="9"/>
      <c r="I577" s="48"/>
      <c r="J577" s="78" cm="1">
        <f t="array" ref="J577">IF(H577&lt;12.5, H577/2,
IF(H577&lt;29, 6.25,
IF(H577&lt;50, 6.5,
IF(H577&lt;79, 6.75,
VALUE(SUBSTITUTE(
INDEX(RESUMO!$J$2:$J$100, MATCH(1,
(D577&gt;=RESUMO!$H$2:$H$100)*(D577&lt;=RESUMO!$I$2:$I$100)*(H577&gt;=RESUMO!$K$2:$K$100)*(H577&lt;=RESUMO!$L$2:$L$100),
0)), "R$ ", ""))
))))</f>
        <v>0</v>
      </c>
      <c r="K577" s="9"/>
      <c r="L577" s="10" t="e">
        <f t="shared" si="105"/>
        <v>#DIV/0!</v>
      </c>
      <c r="M577" s="7"/>
      <c r="N577" s="48"/>
      <c r="O577" s="78" cm="1">
        <f t="array" ref="O577">IF(M577&lt;12.5, 0,
IF(M577&lt;29, 6.25,
IF(M577&lt;50, 6.5,
IF(M577&lt;79, 6.75,
VALUE(SUBSTITUTE(
INDEX(RESUMO!$J$2:$J$100, MATCH(1,
(D577&gt;=RESUMO!$H$2:$H$100)*(D577&lt;=RESUMO!$I$2:$I$100)*(M577&gt;=RESUMO!$K$2:$K$100)*(M577&lt;=RESUMO!$L$2:$L$100),
0)), "R$ ", ""))
))))</f>
        <v>0</v>
      </c>
      <c r="P577" s="9"/>
      <c r="Q577" s="10" t="e">
        <f t="shared" si="106"/>
        <v>#DIV/0!</v>
      </c>
      <c r="R577" s="5">
        <f t="shared" si="107"/>
        <v>-4.4172000000000002</v>
      </c>
      <c r="S577" s="5">
        <f t="shared" si="108"/>
        <v>-114.8472</v>
      </c>
      <c r="T577" s="5">
        <f t="shared" si="109"/>
        <v>-4.4172000000000002</v>
      </c>
      <c r="U577" s="5">
        <f t="shared" si="110"/>
        <v>-114.8472</v>
      </c>
    </row>
    <row r="578" spans="1:21" x14ac:dyDescent="0.25">
      <c r="A578" s="11"/>
      <c r="B578" s="6" t="s">
        <v>636</v>
      </c>
      <c r="C578" s="9">
        <v>110.43</v>
      </c>
      <c r="D578" s="6"/>
      <c r="E578" s="8">
        <v>0.04</v>
      </c>
      <c r="F578" s="49">
        <v>0</v>
      </c>
      <c r="G578" s="9">
        <v>0</v>
      </c>
      <c r="H578" s="9"/>
      <c r="I578" s="48"/>
      <c r="J578" s="78" cm="1">
        <f t="array" ref="J578">IF(H578&lt;12.5, H578/2,
IF(H578&lt;29, 6.25,
IF(H578&lt;50, 6.5,
IF(H578&lt;79, 6.75,
VALUE(SUBSTITUTE(
INDEX(RESUMO!$J$2:$J$100, MATCH(1,
(D578&gt;=RESUMO!$H$2:$H$100)*(D578&lt;=RESUMO!$I$2:$I$100)*(H578&gt;=RESUMO!$K$2:$K$100)*(H578&lt;=RESUMO!$L$2:$L$100),
0)), "R$ ", ""))
))))</f>
        <v>0</v>
      </c>
      <c r="K578" s="9"/>
      <c r="L578" s="10" t="e">
        <f t="shared" si="105"/>
        <v>#DIV/0!</v>
      </c>
      <c r="M578" s="7"/>
      <c r="N578" s="48"/>
      <c r="O578" s="78" cm="1">
        <f t="array" ref="O578">IF(M578&lt;12.5, 0,
IF(M578&lt;29, 6.25,
IF(M578&lt;50, 6.5,
IF(M578&lt;79, 6.75,
VALUE(SUBSTITUTE(
INDEX(RESUMO!$J$2:$J$100, MATCH(1,
(D578&gt;=RESUMO!$H$2:$H$100)*(D578&lt;=RESUMO!$I$2:$I$100)*(M578&gt;=RESUMO!$K$2:$K$100)*(M578&lt;=RESUMO!$L$2:$L$100),
0)), "R$ ", ""))
))))</f>
        <v>0</v>
      </c>
      <c r="P578" s="9"/>
      <c r="Q578" s="10" t="e">
        <f t="shared" si="106"/>
        <v>#DIV/0!</v>
      </c>
      <c r="R578" s="5">
        <f t="shared" si="107"/>
        <v>-4.4172000000000002</v>
      </c>
      <c r="S578" s="5">
        <f t="shared" si="108"/>
        <v>-114.8472</v>
      </c>
      <c r="T578" s="5">
        <f t="shared" si="109"/>
        <v>-4.4172000000000002</v>
      </c>
      <c r="U578" s="5">
        <f t="shared" si="110"/>
        <v>-114.8472</v>
      </c>
    </row>
    <row r="579" spans="1:21" x14ac:dyDescent="0.25">
      <c r="A579" s="11"/>
      <c r="B579" s="6" t="s">
        <v>637</v>
      </c>
      <c r="C579" s="9">
        <v>114.68</v>
      </c>
      <c r="D579" s="6"/>
      <c r="E579" s="8">
        <v>0.04</v>
      </c>
      <c r="F579" s="49">
        <v>0</v>
      </c>
      <c r="G579" s="9">
        <v>0</v>
      </c>
      <c r="H579" s="9"/>
      <c r="I579" s="48"/>
      <c r="J579" s="78" cm="1">
        <f t="array" ref="J579">IF(H579&lt;12.5, H579/2,
IF(H579&lt;29, 6.25,
IF(H579&lt;50, 6.5,
IF(H579&lt;79, 6.75,
VALUE(SUBSTITUTE(
INDEX(RESUMO!$J$2:$J$100, MATCH(1,
(D579&gt;=RESUMO!$H$2:$H$100)*(D579&lt;=RESUMO!$I$2:$I$100)*(H579&gt;=RESUMO!$K$2:$K$100)*(H579&lt;=RESUMO!$L$2:$L$100),
0)), "R$ ", ""))
))))</f>
        <v>0</v>
      </c>
      <c r="K579" s="9"/>
      <c r="L579" s="10" t="e">
        <f t="shared" si="105"/>
        <v>#DIV/0!</v>
      </c>
      <c r="M579" s="7"/>
      <c r="N579" s="48"/>
      <c r="O579" s="78" cm="1">
        <f t="array" ref="O579">IF(M579&lt;12.5, 0,
IF(M579&lt;29, 6.25,
IF(M579&lt;50, 6.5,
IF(M579&lt;79, 6.75,
VALUE(SUBSTITUTE(
INDEX(RESUMO!$J$2:$J$100, MATCH(1,
(D579&gt;=RESUMO!$H$2:$H$100)*(D579&lt;=RESUMO!$I$2:$I$100)*(M579&gt;=RESUMO!$K$2:$K$100)*(M579&lt;=RESUMO!$L$2:$L$100),
0)), "R$ ", ""))
))))</f>
        <v>0</v>
      </c>
      <c r="P579" s="9"/>
      <c r="Q579" s="10" t="e">
        <f t="shared" si="106"/>
        <v>#DIV/0!</v>
      </c>
      <c r="R579" s="5">
        <f t="shared" si="107"/>
        <v>-4.5872000000000002</v>
      </c>
      <c r="S579" s="5">
        <f t="shared" si="108"/>
        <v>-119.2672</v>
      </c>
      <c r="T579" s="5">
        <f t="shared" si="109"/>
        <v>-4.5872000000000002</v>
      </c>
      <c r="U579" s="5">
        <f t="shared" si="110"/>
        <v>-119.2672</v>
      </c>
    </row>
    <row r="580" spans="1:21" x14ac:dyDescent="0.25">
      <c r="A580" s="11"/>
      <c r="B580" s="6" t="s">
        <v>638</v>
      </c>
      <c r="C580" s="9">
        <v>93.51</v>
      </c>
      <c r="D580" s="6"/>
      <c r="E580" s="8">
        <v>0.04</v>
      </c>
      <c r="F580" s="49">
        <v>0</v>
      </c>
      <c r="G580" s="9">
        <v>0</v>
      </c>
      <c r="H580" s="9"/>
      <c r="I580" s="48"/>
      <c r="J580" s="78" cm="1">
        <f t="array" ref="J580">IF(H580&lt;12.5, H580/2,
IF(H580&lt;29, 6.25,
IF(H580&lt;50, 6.5,
IF(H580&lt;79, 6.75,
VALUE(SUBSTITUTE(
INDEX(RESUMO!$J$2:$J$100, MATCH(1,
(D580&gt;=RESUMO!$H$2:$H$100)*(D580&lt;=RESUMO!$I$2:$I$100)*(H580&gt;=RESUMO!$K$2:$K$100)*(H580&lt;=RESUMO!$L$2:$L$100),
0)), "R$ ", ""))
))))</f>
        <v>0</v>
      </c>
      <c r="K580" s="9"/>
      <c r="L580" s="10" t="e">
        <f t="shared" si="105"/>
        <v>#DIV/0!</v>
      </c>
      <c r="M580" s="7"/>
      <c r="N580" s="48"/>
      <c r="O580" s="78" cm="1">
        <f t="array" ref="O580">IF(M580&lt;12.5, 0,
IF(M580&lt;29, 6.25,
IF(M580&lt;50, 6.5,
IF(M580&lt;79, 6.75,
VALUE(SUBSTITUTE(
INDEX(RESUMO!$J$2:$J$100, MATCH(1,
(D580&gt;=RESUMO!$H$2:$H$100)*(D580&lt;=RESUMO!$I$2:$I$100)*(M580&gt;=RESUMO!$K$2:$K$100)*(M580&lt;=RESUMO!$L$2:$L$100),
0)), "R$ ", ""))
))))</f>
        <v>0</v>
      </c>
      <c r="P580" s="9"/>
      <c r="Q580" s="10" t="e">
        <f t="shared" si="106"/>
        <v>#DIV/0!</v>
      </c>
      <c r="R580" s="5">
        <f t="shared" si="107"/>
        <v>-3.7404000000000002</v>
      </c>
      <c r="S580" s="5">
        <f t="shared" si="108"/>
        <v>-97.250399999999999</v>
      </c>
      <c r="T580" s="5">
        <f t="shared" si="109"/>
        <v>-3.7404000000000002</v>
      </c>
      <c r="U580" s="5">
        <f t="shared" si="110"/>
        <v>-97.250399999999999</v>
      </c>
    </row>
    <row r="581" spans="1:21" x14ac:dyDescent="0.25">
      <c r="A581" s="11"/>
      <c r="B581" s="6" t="s">
        <v>639</v>
      </c>
      <c r="C581" s="9">
        <v>111.54</v>
      </c>
      <c r="D581" s="6"/>
      <c r="E581" s="8">
        <v>0.04</v>
      </c>
      <c r="F581" s="49">
        <v>0</v>
      </c>
      <c r="G581" s="9">
        <v>0</v>
      </c>
      <c r="H581" s="9"/>
      <c r="I581" s="48"/>
      <c r="J581" s="78" cm="1">
        <f t="array" ref="J581">IF(H581&lt;12.5, H581/2,
IF(H581&lt;29, 6.25,
IF(H581&lt;50, 6.5,
IF(H581&lt;79, 6.75,
VALUE(SUBSTITUTE(
INDEX(RESUMO!$J$2:$J$100, MATCH(1,
(D581&gt;=RESUMO!$H$2:$H$100)*(D581&lt;=RESUMO!$I$2:$I$100)*(H581&gt;=RESUMO!$K$2:$K$100)*(H581&lt;=RESUMO!$L$2:$L$100),
0)), "R$ ", ""))
))))</f>
        <v>0</v>
      </c>
      <c r="K581" s="9"/>
      <c r="L581" s="10" t="e">
        <f t="shared" si="105"/>
        <v>#DIV/0!</v>
      </c>
      <c r="M581" s="7"/>
      <c r="N581" s="48"/>
      <c r="O581" s="78" cm="1">
        <f t="array" ref="O581">IF(M581&lt;12.5, 0,
IF(M581&lt;29, 6.25,
IF(M581&lt;50, 6.5,
IF(M581&lt;79, 6.75,
VALUE(SUBSTITUTE(
INDEX(RESUMO!$J$2:$J$100, MATCH(1,
(D581&gt;=RESUMO!$H$2:$H$100)*(D581&lt;=RESUMO!$I$2:$I$100)*(M581&gt;=RESUMO!$K$2:$K$100)*(M581&lt;=RESUMO!$L$2:$L$100),
0)), "R$ ", ""))
))))</f>
        <v>0</v>
      </c>
      <c r="P581" s="9"/>
      <c r="Q581" s="10" t="e">
        <f t="shared" si="106"/>
        <v>#DIV/0!</v>
      </c>
      <c r="R581" s="5">
        <f t="shared" si="107"/>
        <v>-4.4616000000000007</v>
      </c>
      <c r="S581" s="5">
        <f t="shared" si="108"/>
        <v>-116.00160000000001</v>
      </c>
      <c r="T581" s="5">
        <f t="shared" si="109"/>
        <v>-4.4616000000000007</v>
      </c>
      <c r="U581" s="5">
        <f t="shared" si="110"/>
        <v>-116.00160000000001</v>
      </c>
    </row>
    <row r="582" spans="1:21" x14ac:dyDescent="0.25">
      <c r="A582" s="11"/>
      <c r="B582" s="6" t="s">
        <v>640</v>
      </c>
      <c r="C582" s="9">
        <v>166.47</v>
      </c>
      <c r="D582" s="6"/>
      <c r="E582" s="8">
        <v>0.04</v>
      </c>
      <c r="F582" s="49">
        <v>0</v>
      </c>
      <c r="G582" s="9">
        <v>0</v>
      </c>
      <c r="H582" s="9"/>
      <c r="I582" s="48"/>
      <c r="J582" s="78" cm="1">
        <f t="array" ref="J582">IF(H582&lt;12.5, H582/2,
IF(H582&lt;29, 6.25,
IF(H582&lt;50, 6.5,
IF(H582&lt;79, 6.75,
VALUE(SUBSTITUTE(
INDEX(RESUMO!$J$2:$J$100, MATCH(1,
(D582&gt;=RESUMO!$H$2:$H$100)*(D582&lt;=RESUMO!$I$2:$I$100)*(H582&gt;=RESUMO!$K$2:$K$100)*(H582&lt;=RESUMO!$L$2:$L$100),
0)), "R$ ", ""))
))))</f>
        <v>0</v>
      </c>
      <c r="K582" s="9"/>
      <c r="L582" s="10" t="e">
        <f t="shared" si="105"/>
        <v>#DIV/0!</v>
      </c>
      <c r="M582" s="7"/>
      <c r="N582" s="48"/>
      <c r="O582" s="78" cm="1">
        <f t="array" ref="O582">IF(M582&lt;12.5, 0,
IF(M582&lt;29, 6.25,
IF(M582&lt;50, 6.5,
IF(M582&lt;79, 6.75,
VALUE(SUBSTITUTE(
INDEX(RESUMO!$J$2:$J$100, MATCH(1,
(D582&gt;=RESUMO!$H$2:$H$100)*(D582&lt;=RESUMO!$I$2:$I$100)*(M582&gt;=RESUMO!$K$2:$K$100)*(M582&lt;=RESUMO!$L$2:$L$100),
0)), "R$ ", ""))
))))</f>
        <v>0</v>
      </c>
      <c r="P582" s="9"/>
      <c r="Q582" s="10" t="e">
        <f t="shared" si="106"/>
        <v>#DIV/0!</v>
      </c>
      <c r="R582" s="5">
        <f t="shared" si="107"/>
        <v>-6.6588000000000003</v>
      </c>
      <c r="S582" s="5">
        <f t="shared" si="108"/>
        <v>-173.12880000000001</v>
      </c>
      <c r="T582" s="5">
        <f t="shared" si="109"/>
        <v>-6.6588000000000003</v>
      </c>
      <c r="U582" s="5">
        <f t="shared" si="110"/>
        <v>-173.12880000000001</v>
      </c>
    </row>
    <row r="583" spans="1:21" x14ac:dyDescent="0.25">
      <c r="A583" s="11"/>
      <c r="B583" s="6" t="s">
        <v>641</v>
      </c>
      <c r="C583" s="9">
        <v>166.48</v>
      </c>
      <c r="D583" s="6"/>
      <c r="E583" s="8">
        <v>0.04</v>
      </c>
      <c r="F583" s="49">
        <v>0</v>
      </c>
      <c r="G583" s="9">
        <v>0</v>
      </c>
      <c r="H583" s="9"/>
      <c r="I583" s="48"/>
      <c r="J583" s="78" cm="1">
        <f t="array" ref="J583">IF(H583&lt;12.5, H583/2,
IF(H583&lt;29, 6.25,
IF(H583&lt;50, 6.5,
IF(H583&lt;79, 6.75,
VALUE(SUBSTITUTE(
INDEX(RESUMO!$J$2:$J$100, MATCH(1,
(D583&gt;=RESUMO!$H$2:$H$100)*(D583&lt;=RESUMO!$I$2:$I$100)*(H583&gt;=RESUMO!$K$2:$K$100)*(H583&lt;=RESUMO!$L$2:$L$100),
0)), "R$ ", ""))
))))</f>
        <v>0</v>
      </c>
      <c r="K583" s="9"/>
      <c r="L583" s="10" t="e">
        <f t="shared" si="105"/>
        <v>#DIV/0!</v>
      </c>
      <c r="M583" s="7"/>
      <c r="N583" s="48"/>
      <c r="O583" s="78" cm="1">
        <f t="array" ref="O583">IF(M583&lt;12.5, 0,
IF(M583&lt;29, 6.25,
IF(M583&lt;50, 6.5,
IF(M583&lt;79, 6.75,
VALUE(SUBSTITUTE(
INDEX(RESUMO!$J$2:$J$100, MATCH(1,
(D583&gt;=RESUMO!$H$2:$H$100)*(D583&lt;=RESUMO!$I$2:$I$100)*(M583&gt;=RESUMO!$K$2:$K$100)*(M583&lt;=RESUMO!$L$2:$L$100),
0)), "R$ ", ""))
))))</f>
        <v>0</v>
      </c>
      <c r="P583" s="9"/>
      <c r="Q583" s="10" t="e">
        <f t="shared" si="106"/>
        <v>#DIV/0!</v>
      </c>
      <c r="R583" s="5">
        <f t="shared" si="107"/>
        <v>-6.6591999999999993</v>
      </c>
      <c r="S583" s="5">
        <f t="shared" si="108"/>
        <v>-173.13919999999999</v>
      </c>
      <c r="T583" s="5">
        <f t="shared" si="109"/>
        <v>-6.6591999999999993</v>
      </c>
      <c r="U583" s="5">
        <f t="shared" si="110"/>
        <v>-173.13919999999999</v>
      </c>
    </row>
    <row r="584" spans="1:21" x14ac:dyDescent="0.25">
      <c r="A584" s="11"/>
      <c r="B584" s="6" t="s">
        <v>642</v>
      </c>
      <c r="C584" s="9">
        <v>127.63</v>
      </c>
      <c r="D584" s="6"/>
      <c r="E584" s="8">
        <v>0.04</v>
      </c>
      <c r="F584" s="49">
        <v>0</v>
      </c>
      <c r="G584" s="9">
        <v>0</v>
      </c>
      <c r="H584" s="9"/>
      <c r="I584" s="48"/>
      <c r="J584" s="78" cm="1">
        <f t="array" ref="J584">IF(H584&lt;12.5, H584/2,
IF(H584&lt;29, 6.25,
IF(H584&lt;50, 6.5,
IF(H584&lt;79, 6.75,
VALUE(SUBSTITUTE(
INDEX(RESUMO!$J$2:$J$100, MATCH(1,
(D584&gt;=RESUMO!$H$2:$H$100)*(D584&lt;=RESUMO!$I$2:$I$100)*(H584&gt;=RESUMO!$K$2:$K$100)*(H584&lt;=RESUMO!$L$2:$L$100),
0)), "R$ ", ""))
))))</f>
        <v>0</v>
      </c>
      <c r="K584" s="9"/>
      <c r="L584" s="10" t="e">
        <f t="shared" si="105"/>
        <v>#DIV/0!</v>
      </c>
      <c r="M584" s="7"/>
      <c r="N584" s="48"/>
      <c r="O584" s="78" cm="1">
        <f t="array" ref="O584">IF(M584&lt;12.5, 0,
IF(M584&lt;29, 6.25,
IF(M584&lt;50, 6.5,
IF(M584&lt;79, 6.75,
VALUE(SUBSTITUTE(
INDEX(RESUMO!$J$2:$J$100, MATCH(1,
(D584&gt;=RESUMO!$H$2:$H$100)*(D584&lt;=RESUMO!$I$2:$I$100)*(M584&gt;=RESUMO!$K$2:$K$100)*(M584&lt;=RESUMO!$L$2:$L$100),
0)), "R$ ", ""))
))))</f>
        <v>0</v>
      </c>
      <c r="P584" s="9"/>
      <c r="Q584" s="10" t="e">
        <f t="shared" si="106"/>
        <v>#DIV/0!</v>
      </c>
      <c r="R584" s="5">
        <f t="shared" si="107"/>
        <v>-5.1052</v>
      </c>
      <c r="S584" s="5">
        <f t="shared" si="108"/>
        <v>-132.73519999999999</v>
      </c>
      <c r="T584" s="5">
        <f t="shared" si="109"/>
        <v>-5.1052</v>
      </c>
      <c r="U584" s="5">
        <f t="shared" si="110"/>
        <v>-132.73519999999999</v>
      </c>
    </row>
    <row r="585" spans="1:21" x14ac:dyDescent="0.25">
      <c r="A585" s="11"/>
      <c r="B585" s="6" t="s">
        <v>643</v>
      </c>
      <c r="C585" s="9">
        <v>127.63</v>
      </c>
      <c r="D585" s="6"/>
      <c r="E585" s="8">
        <v>0.04</v>
      </c>
      <c r="F585" s="49">
        <v>0</v>
      </c>
      <c r="G585" s="9">
        <v>0</v>
      </c>
      <c r="H585" s="9"/>
      <c r="I585" s="48"/>
      <c r="J585" s="78" cm="1">
        <f t="array" ref="J585">IF(H585&lt;12.5, H585/2,
IF(H585&lt;29, 6.25,
IF(H585&lt;50, 6.5,
IF(H585&lt;79, 6.75,
VALUE(SUBSTITUTE(
INDEX(RESUMO!$J$2:$J$100, MATCH(1,
(D585&gt;=RESUMO!$H$2:$H$100)*(D585&lt;=RESUMO!$I$2:$I$100)*(H585&gt;=RESUMO!$K$2:$K$100)*(H585&lt;=RESUMO!$L$2:$L$100),
0)), "R$ ", ""))
))))</f>
        <v>0</v>
      </c>
      <c r="K585" s="9"/>
      <c r="L585" s="10" t="e">
        <f t="shared" si="105"/>
        <v>#DIV/0!</v>
      </c>
      <c r="M585" s="7"/>
      <c r="N585" s="48"/>
      <c r="O585" s="78" cm="1">
        <f t="array" ref="O585">IF(M585&lt;12.5, 0,
IF(M585&lt;29, 6.25,
IF(M585&lt;50, 6.5,
IF(M585&lt;79, 6.75,
VALUE(SUBSTITUTE(
INDEX(RESUMO!$J$2:$J$100, MATCH(1,
(D585&gt;=RESUMO!$H$2:$H$100)*(D585&lt;=RESUMO!$I$2:$I$100)*(M585&gt;=RESUMO!$K$2:$K$100)*(M585&lt;=RESUMO!$L$2:$L$100),
0)), "R$ ", ""))
))))</f>
        <v>0</v>
      </c>
      <c r="P585" s="9"/>
      <c r="Q585" s="10" t="e">
        <f t="shared" si="106"/>
        <v>#DIV/0!</v>
      </c>
      <c r="R585" s="5">
        <f t="shared" si="107"/>
        <v>-5.1052</v>
      </c>
      <c r="S585" s="5">
        <f t="shared" si="108"/>
        <v>-132.73519999999999</v>
      </c>
      <c r="T585" s="5">
        <f t="shared" si="109"/>
        <v>-5.1052</v>
      </c>
      <c r="U585" s="5">
        <f t="shared" si="110"/>
        <v>-132.73519999999999</v>
      </c>
    </row>
    <row r="586" spans="1:21" x14ac:dyDescent="0.25">
      <c r="A586" s="11"/>
      <c r="B586" s="6" t="s">
        <v>644</v>
      </c>
      <c r="C586" s="9">
        <v>147.22999999999999</v>
      </c>
      <c r="D586" s="6"/>
      <c r="E586" s="8">
        <v>0.04</v>
      </c>
      <c r="F586" s="49">
        <v>0</v>
      </c>
      <c r="G586" s="9">
        <v>0</v>
      </c>
      <c r="H586" s="9"/>
      <c r="I586" s="48"/>
      <c r="J586" s="78" cm="1">
        <f t="array" ref="J586">IF(H586&lt;12.5, H586/2,
IF(H586&lt;29, 6.25,
IF(H586&lt;50, 6.5,
IF(H586&lt;79, 6.75,
VALUE(SUBSTITUTE(
INDEX(RESUMO!$J$2:$J$100, MATCH(1,
(D586&gt;=RESUMO!$H$2:$H$100)*(D586&lt;=RESUMO!$I$2:$I$100)*(H586&gt;=RESUMO!$K$2:$K$100)*(H586&lt;=RESUMO!$L$2:$L$100),
0)), "R$ ", ""))
))))</f>
        <v>0</v>
      </c>
      <c r="K586" s="9"/>
      <c r="L586" s="10" t="e">
        <f t="shared" si="105"/>
        <v>#DIV/0!</v>
      </c>
      <c r="M586" s="7"/>
      <c r="N586" s="48"/>
      <c r="O586" s="78" cm="1">
        <f t="array" ref="O586">IF(M586&lt;12.5, 0,
IF(M586&lt;29, 6.25,
IF(M586&lt;50, 6.5,
IF(M586&lt;79, 6.75,
VALUE(SUBSTITUTE(
INDEX(RESUMO!$J$2:$J$100, MATCH(1,
(D586&gt;=RESUMO!$H$2:$H$100)*(D586&lt;=RESUMO!$I$2:$I$100)*(M586&gt;=RESUMO!$K$2:$K$100)*(M586&lt;=RESUMO!$L$2:$L$100),
0)), "R$ ", ""))
))))</f>
        <v>0</v>
      </c>
      <c r="P586" s="9"/>
      <c r="Q586" s="10" t="e">
        <f t="shared" si="106"/>
        <v>#DIV/0!</v>
      </c>
      <c r="R586" s="5">
        <f t="shared" si="107"/>
        <v>-5.8891999999999998</v>
      </c>
      <c r="S586" s="5">
        <f t="shared" si="108"/>
        <v>-153.11919999999998</v>
      </c>
      <c r="T586" s="5">
        <f t="shared" si="109"/>
        <v>-5.8891999999999998</v>
      </c>
      <c r="U586" s="5">
        <f t="shared" si="110"/>
        <v>-153.11919999999998</v>
      </c>
    </row>
    <row r="587" spans="1:21" x14ac:dyDescent="0.25">
      <c r="A587" s="11"/>
      <c r="B587" s="6" t="s">
        <v>645</v>
      </c>
      <c r="C587" s="9">
        <v>147.22999999999999</v>
      </c>
      <c r="D587" s="6"/>
      <c r="E587" s="8">
        <v>0.04</v>
      </c>
      <c r="F587" s="49">
        <v>0</v>
      </c>
      <c r="G587" s="9">
        <v>0</v>
      </c>
      <c r="H587" s="9"/>
      <c r="I587" s="48"/>
      <c r="J587" s="78" cm="1">
        <f t="array" ref="J587">IF(H587&lt;12.5, H587/2,
IF(H587&lt;29, 6.25,
IF(H587&lt;50, 6.5,
IF(H587&lt;79, 6.75,
VALUE(SUBSTITUTE(
INDEX(RESUMO!$J$2:$J$100, MATCH(1,
(D587&gt;=RESUMO!$H$2:$H$100)*(D587&lt;=RESUMO!$I$2:$I$100)*(H587&gt;=RESUMO!$K$2:$K$100)*(H587&lt;=RESUMO!$L$2:$L$100),
0)), "R$ ", ""))
))))</f>
        <v>0</v>
      </c>
      <c r="K587" s="9"/>
      <c r="L587" s="10" t="e">
        <f t="shared" si="105"/>
        <v>#DIV/0!</v>
      </c>
      <c r="M587" s="7"/>
      <c r="N587" s="48"/>
      <c r="O587" s="78" cm="1">
        <f t="array" ref="O587">IF(M587&lt;12.5, 0,
IF(M587&lt;29, 6.25,
IF(M587&lt;50, 6.5,
IF(M587&lt;79, 6.75,
VALUE(SUBSTITUTE(
INDEX(RESUMO!$J$2:$J$100, MATCH(1,
(D587&gt;=RESUMO!$H$2:$H$100)*(D587&lt;=RESUMO!$I$2:$I$100)*(M587&gt;=RESUMO!$K$2:$K$100)*(M587&lt;=RESUMO!$L$2:$L$100),
0)), "R$ ", ""))
))))</f>
        <v>0</v>
      </c>
      <c r="P587" s="9"/>
      <c r="Q587" s="10" t="e">
        <f t="shared" si="106"/>
        <v>#DIV/0!</v>
      </c>
      <c r="R587" s="5">
        <f t="shared" si="107"/>
        <v>-5.8891999999999998</v>
      </c>
      <c r="S587" s="5">
        <f t="shared" si="108"/>
        <v>-153.11919999999998</v>
      </c>
      <c r="T587" s="5">
        <f t="shared" si="109"/>
        <v>-5.8891999999999998</v>
      </c>
      <c r="U587" s="5">
        <f t="shared" si="110"/>
        <v>-153.11919999999998</v>
      </c>
    </row>
    <row r="588" spans="1:21" x14ac:dyDescent="0.25">
      <c r="A588" s="11"/>
      <c r="B588" s="6" t="s">
        <v>646</v>
      </c>
      <c r="C588" s="9">
        <v>166.47</v>
      </c>
      <c r="D588" s="6"/>
      <c r="E588" s="8">
        <v>0.04</v>
      </c>
      <c r="F588" s="49">
        <v>0</v>
      </c>
      <c r="G588" s="9">
        <v>0</v>
      </c>
      <c r="H588" s="9"/>
      <c r="I588" s="48"/>
      <c r="J588" s="78" cm="1">
        <f t="array" ref="J588">IF(H588&lt;12.5, H588/2,
IF(H588&lt;29, 6.25,
IF(H588&lt;50, 6.5,
IF(H588&lt;79, 6.75,
VALUE(SUBSTITUTE(
INDEX(RESUMO!$J$2:$J$100, MATCH(1,
(D588&gt;=RESUMO!$H$2:$H$100)*(D588&lt;=RESUMO!$I$2:$I$100)*(H588&gt;=RESUMO!$K$2:$K$100)*(H588&lt;=RESUMO!$L$2:$L$100),
0)), "R$ ", ""))
))))</f>
        <v>0</v>
      </c>
      <c r="K588" s="9"/>
      <c r="L588" s="10" t="e">
        <f t="shared" si="105"/>
        <v>#DIV/0!</v>
      </c>
      <c r="M588" s="7"/>
      <c r="N588" s="48"/>
      <c r="O588" s="78" cm="1">
        <f t="array" ref="O588">IF(M588&lt;12.5, 0,
IF(M588&lt;29, 6.25,
IF(M588&lt;50, 6.5,
IF(M588&lt;79, 6.75,
VALUE(SUBSTITUTE(
INDEX(RESUMO!$J$2:$J$100, MATCH(1,
(D588&gt;=RESUMO!$H$2:$H$100)*(D588&lt;=RESUMO!$I$2:$I$100)*(M588&gt;=RESUMO!$K$2:$K$100)*(M588&lt;=RESUMO!$L$2:$L$100),
0)), "R$ ", ""))
))))</f>
        <v>0</v>
      </c>
      <c r="P588" s="9"/>
      <c r="Q588" s="10" t="e">
        <f t="shared" si="106"/>
        <v>#DIV/0!</v>
      </c>
      <c r="R588" s="5">
        <f t="shared" si="107"/>
        <v>-6.6588000000000003</v>
      </c>
      <c r="S588" s="5">
        <f t="shared" si="108"/>
        <v>-173.12880000000001</v>
      </c>
      <c r="T588" s="5">
        <f t="shared" si="109"/>
        <v>-6.6588000000000003</v>
      </c>
      <c r="U588" s="5">
        <f t="shared" si="110"/>
        <v>-173.12880000000001</v>
      </c>
    </row>
    <row r="589" spans="1:21" x14ac:dyDescent="0.25">
      <c r="A589" s="11"/>
      <c r="B589" s="6" t="s">
        <v>647</v>
      </c>
      <c r="C589" s="9">
        <v>166.48</v>
      </c>
      <c r="D589" s="6"/>
      <c r="E589" s="8">
        <v>0.04</v>
      </c>
      <c r="F589" s="49">
        <v>0</v>
      </c>
      <c r="G589" s="9">
        <v>0</v>
      </c>
      <c r="H589" s="9"/>
      <c r="I589" s="48"/>
      <c r="J589" s="78" cm="1">
        <f t="array" ref="J589">IF(H589&lt;12.5, H589/2,
IF(H589&lt;29, 6.25,
IF(H589&lt;50, 6.5,
IF(H589&lt;79, 6.75,
VALUE(SUBSTITUTE(
INDEX(RESUMO!$J$2:$J$100, MATCH(1,
(D589&gt;=RESUMO!$H$2:$H$100)*(D589&lt;=RESUMO!$I$2:$I$100)*(H589&gt;=RESUMO!$K$2:$K$100)*(H589&lt;=RESUMO!$L$2:$L$100),
0)), "R$ ", ""))
))))</f>
        <v>0</v>
      </c>
      <c r="K589" s="9"/>
      <c r="L589" s="10" t="e">
        <f t="shared" si="105"/>
        <v>#DIV/0!</v>
      </c>
      <c r="M589" s="7"/>
      <c r="N589" s="48"/>
      <c r="O589" s="78" cm="1">
        <f t="array" ref="O589">IF(M589&lt;12.5, 0,
IF(M589&lt;29, 6.25,
IF(M589&lt;50, 6.5,
IF(M589&lt;79, 6.75,
VALUE(SUBSTITUTE(
INDEX(RESUMO!$J$2:$J$100, MATCH(1,
(D589&gt;=RESUMO!$H$2:$H$100)*(D589&lt;=RESUMO!$I$2:$I$100)*(M589&gt;=RESUMO!$K$2:$K$100)*(M589&lt;=RESUMO!$L$2:$L$100),
0)), "R$ ", ""))
))))</f>
        <v>0</v>
      </c>
      <c r="P589" s="9"/>
      <c r="Q589" s="10" t="e">
        <f t="shared" si="106"/>
        <v>#DIV/0!</v>
      </c>
      <c r="R589" s="5">
        <f t="shared" si="107"/>
        <v>-6.6591999999999993</v>
      </c>
      <c r="S589" s="5">
        <f t="shared" si="108"/>
        <v>-173.13919999999999</v>
      </c>
      <c r="T589" s="5">
        <f t="shared" si="109"/>
        <v>-6.6591999999999993</v>
      </c>
      <c r="U589" s="5">
        <f t="shared" si="110"/>
        <v>-173.13919999999999</v>
      </c>
    </row>
    <row r="590" spans="1:21" x14ac:dyDescent="0.25">
      <c r="A590" s="11"/>
      <c r="B590" s="6" t="s">
        <v>648</v>
      </c>
      <c r="C590" s="9">
        <v>157.22999999999999</v>
      </c>
      <c r="D590" s="6"/>
      <c r="E590" s="8">
        <v>0.04</v>
      </c>
      <c r="F590" s="49">
        <v>0</v>
      </c>
      <c r="G590" s="9">
        <v>0</v>
      </c>
      <c r="H590" s="9"/>
      <c r="I590" s="48"/>
      <c r="J590" s="78" cm="1">
        <f t="array" ref="J590">IF(H590&lt;12.5, H590/2,
IF(H590&lt;29, 6.25,
IF(H590&lt;50, 6.5,
IF(H590&lt;79, 6.75,
VALUE(SUBSTITUTE(
INDEX(RESUMO!$J$2:$J$100, MATCH(1,
(D590&gt;=RESUMO!$H$2:$H$100)*(D590&lt;=RESUMO!$I$2:$I$100)*(H590&gt;=RESUMO!$K$2:$K$100)*(H590&lt;=RESUMO!$L$2:$L$100),
0)), "R$ ", ""))
))))</f>
        <v>0</v>
      </c>
      <c r="K590" s="9"/>
      <c r="L590" s="10" t="e">
        <f t="shared" si="105"/>
        <v>#DIV/0!</v>
      </c>
      <c r="M590" s="7"/>
      <c r="N590" s="48"/>
      <c r="O590" s="78" cm="1">
        <f t="array" ref="O590">IF(M590&lt;12.5, 0,
IF(M590&lt;29, 6.25,
IF(M590&lt;50, 6.5,
IF(M590&lt;79, 6.75,
VALUE(SUBSTITUTE(
INDEX(RESUMO!$J$2:$J$100, MATCH(1,
(D590&gt;=RESUMO!$H$2:$H$100)*(D590&lt;=RESUMO!$I$2:$I$100)*(M590&gt;=RESUMO!$K$2:$K$100)*(M590&lt;=RESUMO!$L$2:$L$100),
0)), "R$ ", ""))
))))</f>
        <v>0</v>
      </c>
      <c r="P590" s="9"/>
      <c r="Q590" s="10" t="e">
        <f t="shared" si="106"/>
        <v>#DIV/0!</v>
      </c>
      <c r="R590" s="5">
        <f t="shared" si="107"/>
        <v>-6.2892000000000001</v>
      </c>
      <c r="S590" s="5">
        <f t="shared" si="108"/>
        <v>-163.51919999999998</v>
      </c>
      <c r="T590" s="5">
        <f t="shared" si="109"/>
        <v>-6.2892000000000001</v>
      </c>
      <c r="U590" s="5">
        <f t="shared" si="110"/>
        <v>-163.51919999999998</v>
      </c>
    </row>
    <row r="591" spans="1:21" x14ac:dyDescent="0.25">
      <c r="A591" s="11"/>
      <c r="B591" s="6" t="s">
        <v>649</v>
      </c>
      <c r="C591" s="9">
        <v>157.22999999999999</v>
      </c>
      <c r="D591" s="6"/>
      <c r="E591" s="8">
        <v>0.04</v>
      </c>
      <c r="F591" s="49">
        <v>0</v>
      </c>
      <c r="G591" s="9">
        <v>0</v>
      </c>
      <c r="H591" s="9"/>
      <c r="I591" s="48"/>
      <c r="J591" s="78" cm="1">
        <f t="array" ref="J591">IF(H591&lt;12.5, H591/2,
IF(H591&lt;29, 6.25,
IF(H591&lt;50, 6.5,
IF(H591&lt;79, 6.75,
VALUE(SUBSTITUTE(
INDEX(RESUMO!$J$2:$J$100, MATCH(1,
(D591&gt;=RESUMO!$H$2:$H$100)*(D591&lt;=RESUMO!$I$2:$I$100)*(H591&gt;=RESUMO!$K$2:$K$100)*(H591&lt;=RESUMO!$L$2:$L$100),
0)), "R$ ", ""))
))))</f>
        <v>0</v>
      </c>
      <c r="K591" s="9"/>
      <c r="L591" s="10" t="e">
        <f t="shared" si="105"/>
        <v>#DIV/0!</v>
      </c>
      <c r="M591" s="7"/>
      <c r="N591" s="48"/>
      <c r="O591" s="78" cm="1">
        <f t="array" ref="O591">IF(M591&lt;12.5, 0,
IF(M591&lt;29, 6.25,
IF(M591&lt;50, 6.5,
IF(M591&lt;79, 6.75,
VALUE(SUBSTITUTE(
INDEX(RESUMO!$J$2:$J$100, MATCH(1,
(D591&gt;=RESUMO!$H$2:$H$100)*(D591&lt;=RESUMO!$I$2:$I$100)*(M591&gt;=RESUMO!$K$2:$K$100)*(M591&lt;=RESUMO!$L$2:$L$100),
0)), "R$ ", ""))
))))</f>
        <v>0</v>
      </c>
      <c r="P591" s="9"/>
      <c r="Q591" s="10" t="e">
        <f t="shared" si="106"/>
        <v>#DIV/0!</v>
      </c>
      <c r="R591" s="5">
        <f t="shared" si="107"/>
        <v>-6.2892000000000001</v>
      </c>
      <c r="S591" s="5">
        <f t="shared" si="108"/>
        <v>-163.51919999999998</v>
      </c>
      <c r="T591" s="5">
        <f t="shared" si="109"/>
        <v>-6.2892000000000001</v>
      </c>
      <c r="U591" s="5">
        <f t="shared" si="110"/>
        <v>-163.51919999999998</v>
      </c>
    </row>
    <row r="592" spans="1:21" x14ac:dyDescent="0.25">
      <c r="A592" s="11"/>
      <c r="B592" s="6" t="s">
        <v>650</v>
      </c>
      <c r="C592" s="9">
        <v>168.33</v>
      </c>
      <c r="D592" s="6"/>
      <c r="E592" s="8">
        <v>0.04</v>
      </c>
      <c r="F592" s="49">
        <v>0</v>
      </c>
      <c r="G592" s="9">
        <v>0</v>
      </c>
      <c r="H592" s="9"/>
      <c r="I592" s="48"/>
      <c r="J592" s="78" cm="1">
        <f t="array" ref="J592">IF(H592&lt;12.5, H592/2,
IF(H592&lt;29, 6.25,
IF(H592&lt;50, 6.5,
IF(H592&lt;79, 6.75,
VALUE(SUBSTITUTE(
INDEX(RESUMO!$J$2:$J$100, MATCH(1,
(D592&gt;=RESUMO!$H$2:$H$100)*(D592&lt;=RESUMO!$I$2:$I$100)*(H592&gt;=RESUMO!$K$2:$K$100)*(H592&lt;=RESUMO!$L$2:$L$100),
0)), "R$ ", ""))
))))</f>
        <v>0</v>
      </c>
      <c r="K592" s="9"/>
      <c r="L592" s="10" t="e">
        <f t="shared" si="105"/>
        <v>#DIV/0!</v>
      </c>
      <c r="M592" s="7"/>
      <c r="N592" s="48"/>
      <c r="O592" s="78" cm="1">
        <f t="array" ref="O592">IF(M592&lt;12.5, 0,
IF(M592&lt;29, 6.25,
IF(M592&lt;50, 6.5,
IF(M592&lt;79, 6.75,
VALUE(SUBSTITUTE(
INDEX(RESUMO!$J$2:$J$100, MATCH(1,
(D592&gt;=RESUMO!$H$2:$H$100)*(D592&lt;=RESUMO!$I$2:$I$100)*(M592&gt;=RESUMO!$K$2:$K$100)*(M592&lt;=RESUMO!$L$2:$L$100),
0)), "R$ ", ""))
))))</f>
        <v>0</v>
      </c>
      <c r="P592" s="9"/>
      <c r="Q592" s="10" t="e">
        <f t="shared" si="106"/>
        <v>#DIV/0!</v>
      </c>
      <c r="R592" s="5">
        <f t="shared" si="107"/>
        <v>-6.733200000000001</v>
      </c>
      <c r="S592" s="5">
        <f t="shared" si="108"/>
        <v>-175.06320000000002</v>
      </c>
      <c r="T592" s="5">
        <f t="shared" si="109"/>
        <v>-6.733200000000001</v>
      </c>
      <c r="U592" s="5">
        <f t="shared" si="110"/>
        <v>-175.06320000000002</v>
      </c>
    </row>
    <row r="593" spans="1:21" x14ac:dyDescent="0.25">
      <c r="A593" s="11"/>
      <c r="B593" s="6" t="s">
        <v>651</v>
      </c>
      <c r="C593" s="9">
        <v>168.33</v>
      </c>
      <c r="D593" s="6"/>
      <c r="E593" s="8">
        <v>0.04</v>
      </c>
      <c r="F593" s="49">
        <v>0</v>
      </c>
      <c r="G593" s="9">
        <v>0</v>
      </c>
      <c r="H593" s="9"/>
      <c r="I593" s="48"/>
      <c r="J593" s="78" cm="1">
        <f t="array" ref="J593">IF(H593&lt;12.5, H593/2,
IF(H593&lt;29, 6.25,
IF(H593&lt;50, 6.5,
IF(H593&lt;79, 6.75,
VALUE(SUBSTITUTE(
INDEX(RESUMO!$J$2:$J$100, MATCH(1,
(D593&gt;=RESUMO!$H$2:$H$100)*(D593&lt;=RESUMO!$I$2:$I$100)*(H593&gt;=RESUMO!$K$2:$K$100)*(H593&lt;=RESUMO!$L$2:$L$100),
0)), "R$ ", ""))
))))</f>
        <v>0</v>
      </c>
      <c r="K593" s="9"/>
      <c r="L593" s="10" t="e">
        <f t="shared" si="105"/>
        <v>#DIV/0!</v>
      </c>
      <c r="M593" s="7"/>
      <c r="N593" s="48"/>
      <c r="O593" s="78" cm="1">
        <f t="array" ref="O593">IF(M593&lt;12.5, 0,
IF(M593&lt;29, 6.25,
IF(M593&lt;50, 6.5,
IF(M593&lt;79, 6.75,
VALUE(SUBSTITUTE(
INDEX(RESUMO!$J$2:$J$100, MATCH(1,
(D593&gt;=RESUMO!$H$2:$H$100)*(D593&lt;=RESUMO!$I$2:$I$100)*(M593&gt;=RESUMO!$K$2:$K$100)*(M593&lt;=RESUMO!$L$2:$L$100),
0)), "R$ ", ""))
))))</f>
        <v>0</v>
      </c>
      <c r="P593" s="9"/>
      <c r="Q593" s="10" t="e">
        <f t="shared" si="106"/>
        <v>#DIV/0!</v>
      </c>
      <c r="R593" s="5">
        <f t="shared" si="107"/>
        <v>-6.733200000000001</v>
      </c>
      <c r="S593" s="5">
        <f t="shared" si="108"/>
        <v>-175.06320000000002</v>
      </c>
      <c r="T593" s="5">
        <f t="shared" si="109"/>
        <v>-6.733200000000001</v>
      </c>
      <c r="U593" s="5">
        <f t="shared" si="110"/>
        <v>-175.06320000000002</v>
      </c>
    </row>
    <row r="594" spans="1:21" x14ac:dyDescent="0.25">
      <c r="A594" s="11"/>
      <c r="B594" s="6" t="s">
        <v>652</v>
      </c>
      <c r="C594" s="9">
        <v>138.74</v>
      </c>
      <c r="D594" s="6"/>
      <c r="E594" s="8">
        <v>0.04</v>
      </c>
      <c r="F594" s="49">
        <v>0</v>
      </c>
      <c r="G594" s="9">
        <v>0</v>
      </c>
      <c r="H594" s="9"/>
      <c r="I594" s="48"/>
      <c r="J594" s="78" cm="1">
        <f t="array" ref="J594">IF(H594&lt;12.5, H594/2,
IF(H594&lt;29, 6.25,
IF(H594&lt;50, 6.5,
IF(H594&lt;79, 6.75,
VALUE(SUBSTITUTE(
INDEX(RESUMO!$J$2:$J$100, MATCH(1,
(D594&gt;=RESUMO!$H$2:$H$100)*(D594&lt;=RESUMO!$I$2:$I$100)*(H594&gt;=RESUMO!$K$2:$K$100)*(H594&lt;=RESUMO!$L$2:$L$100),
0)), "R$ ", ""))
))))</f>
        <v>0</v>
      </c>
      <c r="K594" s="9"/>
      <c r="L594" s="10" t="e">
        <f t="shared" si="105"/>
        <v>#DIV/0!</v>
      </c>
      <c r="M594" s="7"/>
      <c r="N594" s="48"/>
      <c r="O594" s="78" cm="1">
        <f t="array" ref="O594">IF(M594&lt;12.5, 0,
IF(M594&lt;29, 6.25,
IF(M594&lt;50, 6.5,
IF(M594&lt;79, 6.75,
VALUE(SUBSTITUTE(
INDEX(RESUMO!$J$2:$J$100, MATCH(1,
(D594&gt;=RESUMO!$H$2:$H$100)*(D594&lt;=RESUMO!$I$2:$I$100)*(M594&gt;=RESUMO!$K$2:$K$100)*(M594&lt;=RESUMO!$L$2:$L$100),
0)), "R$ ", ""))
))))</f>
        <v>0</v>
      </c>
      <c r="P594" s="9"/>
      <c r="Q594" s="10" t="e">
        <f t="shared" si="106"/>
        <v>#DIV/0!</v>
      </c>
      <c r="R594" s="5">
        <f t="shared" si="107"/>
        <v>-5.5496000000000008</v>
      </c>
      <c r="S594" s="5">
        <f t="shared" si="108"/>
        <v>-144.28960000000001</v>
      </c>
      <c r="T594" s="5">
        <f t="shared" si="109"/>
        <v>-5.5496000000000008</v>
      </c>
      <c r="U594" s="5">
        <f t="shared" si="110"/>
        <v>-144.28960000000001</v>
      </c>
    </row>
    <row r="595" spans="1:21" x14ac:dyDescent="0.25">
      <c r="A595" s="11"/>
      <c r="B595" s="6" t="s">
        <v>653</v>
      </c>
      <c r="C595" s="9">
        <v>138.74</v>
      </c>
      <c r="D595" s="6"/>
      <c r="E595" s="8">
        <v>0.04</v>
      </c>
      <c r="F595" s="49">
        <v>0</v>
      </c>
      <c r="G595" s="9">
        <v>0</v>
      </c>
      <c r="H595" s="9"/>
      <c r="I595" s="48"/>
      <c r="J595" s="78" cm="1">
        <f t="array" ref="J595">IF(H595&lt;12.5, H595/2,
IF(H595&lt;29, 6.25,
IF(H595&lt;50, 6.5,
IF(H595&lt;79, 6.75,
VALUE(SUBSTITUTE(
INDEX(RESUMO!$J$2:$J$100, MATCH(1,
(D595&gt;=RESUMO!$H$2:$H$100)*(D595&lt;=RESUMO!$I$2:$I$100)*(H595&gt;=RESUMO!$K$2:$K$100)*(H595&lt;=RESUMO!$L$2:$L$100),
0)), "R$ ", ""))
))))</f>
        <v>0</v>
      </c>
      <c r="K595" s="9"/>
      <c r="L595" s="10" t="e">
        <f t="shared" si="105"/>
        <v>#DIV/0!</v>
      </c>
      <c r="M595" s="7"/>
      <c r="N595" s="48"/>
      <c r="O595" s="78" cm="1">
        <f t="array" ref="O595">IF(M595&lt;12.5, 0,
IF(M595&lt;29, 6.25,
IF(M595&lt;50, 6.5,
IF(M595&lt;79, 6.75,
VALUE(SUBSTITUTE(
INDEX(RESUMO!$J$2:$J$100, MATCH(1,
(D595&gt;=RESUMO!$H$2:$H$100)*(D595&lt;=RESUMO!$I$2:$I$100)*(M595&gt;=RESUMO!$K$2:$K$100)*(M595&lt;=RESUMO!$L$2:$L$100),
0)), "R$ ", ""))
))))</f>
        <v>0</v>
      </c>
      <c r="P595" s="9"/>
      <c r="Q595" s="10" t="e">
        <f t="shared" si="106"/>
        <v>#DIV/0!</v>
      </c>
      <c r="R595" s="5">
        <f t="shared" si="107"/>
        <v>-5.5496000000000008</v>
      </c>
      <c r="S595" s="5">
        <f t="shared" si="108"/>
        <v>-144.28960000000001</v>
      </c>
      <c r="T595" s="5">
        <f t="shared" si="109"/>
        <v>-5.5496000000000008</v>
      </c>
      <c r="U595" s="5">
        <f t="shared" si="110"/>
        <v>-144.28960000000001</v>
      </c>
    </row>
    <row r="596" spans="1:21" x14ac:dyDescent="0.25">
      <c r="A596" s="11"/>
      <c r="B596" s="6" t="s">
        <v>654</v>
      </c>
      <c r="C596" s="9">
        <v>93.51</v>
      </c>
      <c r="D596" s="6"/>
      <c r="E596" s="8">
        <v>0.04</v>
      </c>
      <c r="F596" s="49">
        <v>0</v>
      </c>
      <c r="G596" s="9">
        <v>0</v>
      </c>
      <c r="H596" s="9"/>
      <c r="I596" s="48"/>
      <c r="J596" s="78" cm="1">
        <f t="array" ref="J596">IF(H596&lt;12.5, H596/2,
IF(H596&lt;29, 6.25,
IF(H596&lt;50, 6.5,
IF(H596&lt;79, 6.75,
VALUE(SUBSTITUTE(
INDEX(RESUMO!$J$2:$J$100, MATCH(1,
(D596&gt;=RESUMO!$H$2:$H$100)*(D596&lt;=RESUMO!$I$2:$I$100)*(H596&gt;=RESUMO!$K$2:$K$100)*(H596&lt;=RESUMO!$L$2:$L$100),
0)), "R$ ", ""))
))))</f>
        <v>0</v>
      </c>
      <c r="K596" s="9"/>
      <c r="L596" s="10" t="e">
        <f t="shared" si="105"/>
        <v>#DIV/0!</v>
      </c>
      <c r="M596" s="7"/>
      <c r="N596" s="48"/>
      <c r="O596" s="78" cm="1">
        <f t="array" ref="O596">IF(M596&lt;12.5, 0,
IF(M596&lt;29, 6.25,
IF(M596&lt;50, 6.5,
IF(M596&lt;79, 6.75,
VALUE(SUBSTITUTE(
INDEX(RESUMO!$J$2:$J$100, MATCH(1,
(D596&gt;=RESUMO!$H$2:$H$100)*(D596&lt;=RESUMO!$I$2:$I$100)*(M596&gt;=RESUMO!$K$2:$K$100)*(M596&lt;=RESUMO!$L$2:$L$100),
0)), "R$ ", ""))
))))</f>
        <v>0</v>
      </c>
      <c r="P596" s="9"/>
      <c r="Q596" s="10" t="e">
        <f t="shared" si="106"/>
        <v>#DIV/0!</v>
      </c>
      <c r="R596" s="5">
        <f t="shared" si="107"/>
        <v>-3.7404000000000002</v>
      </c>
      <c r="S596" s="5">
        <f t="shared" si="108"/>
        <v>-97.250399999999999</v>
      </c>
      <c r="T596" s="5">
        <f t="shared" si="109"/>
        <v>-3.7404000000000002</v>
      </c>
      <c r="U596" s="5">
        <f t="shared" si="110"/>
        <v>-97.250399999999999</v>
      </c>
    </row>
    <row r="597" spans="1:21" x14ac:dyDescent="0.25">
      <c r="A597" s="11"/>
      <c r="B597" s="6" t="s">
        <v>655</v>
      </c>
      <c r="C597" s="9">
        <v>114.68</v>
      </c>
      <c r="D597" s="6"/>
      <c r="E597" s="8">
        <v>0.04</v>
      </c>
      <c r="F597" s="49">
        <v>0</v>
      </c>
      <c r="G597" s="9">
        <v>0</v>
      </c>
      <c r="H597" s="9"/>
      <c r="I597" s="48"/>
      <c r="J597" s="78" cm="1">
        <f t="array" ref="J597">IF(H597&lt;12.5, H597/2,
IF(H597&lt;29, 6.25,
IF(H597&lt;50, 6.5,
IF(H597&lt;79, 6.75,
VALUE(SUBSTITUTE(
INDEX(RESUMO!$J$2:$J$100, MATCH(1,
(D597&gt;=RESUMO!$H$2:$H$100)*(D597&lt;=RESUMO!$I$2:$I$100)*(H597&gt;=RESUMO!$K$2:$K$100)*(H597&lt;=RESUMO!$L$2:$L$100),
0)), "R$ ", ""))
))))</f>
        <v>0</v>
      </c>
      <c r="K597" s="9"/>
      <c r="L597" s="10" t="e">
        <f t="shared" si="105"/>
        <v>#DIV/0!</v>
      </c>
      <c r="M597" s="7"/>
      <c r="N597" s="48"/>
      <c r="O597" s="78" cm="1">
        <f t="array" ref="O597">IF(M597&lt;12.5, 0,
IF(M597&lt;29, 6.25,
IF(M597&lt;50, 6.5,
IF(M597&lt;79, 6.75,
VALUE(SUBSTITUTE(
INDEX(RESUMO!$J$2:$J$100, MATCH(1,
(D597&gt;=RESUMO!$H$2:$H$100)*(D597&lt;=RESUMO!$I$2:$I$100)*(M597&gt;=RESUMO!$K$2:$K$100)*(M597&lt;=RESUMO!$L$2:$L$100),
0)), "R$ ", ""))
))))</f>
        <v>0</v>
      </c>
      <c r="P597" s="9"/>
      <c r="Q597" s="10" t="e">
        <f t="shared" si="106"/>
        <v>#DIV/0!</v>
      </c>
      <c r="R597" s="5">
        <f t="shared" si="107"/>
        <v>-4.5872000000000002</v>
      </c>
      <c r="S597" s="5">
        <f t="shared" si="108"/>
        <v>-119.2672</v>
      </c>
      <c r="T597" s="5">
        <f t="shared" si="109"/>
        <v>-4.5872000000000002</v>
      </c>
      <c r="U597" s="5">
        <f t="shared" si="110"/>
        <v>-119.2672</v>
      </c>
    </row>
    <row r="598" spans="1:21" x14ac:dyDescent="0.25">
      <c r="A598" s="11"/>
      <c r="B598" s="6" t="s">
        <v>656</v>
      </c>
      <c r="C598" s="9">
        <v>120.6</v>
      </c>
      <c r="D598" s="6"/>
      <c r="E598" s="8">
        <v>0.04</v>
      </c>
      <c r="F598" s="49">
        <v>0</v>
      </c>
      <c r="G598" s="9">
        <v>0</v>
      </c>
      <c r="H598" s="9"/>
      <c r="I598" s="48"/>
      <c r="J598" s="78" cm="1">
        <f t="array" ref="J598">IF(H598&lt;12.5, H598/2,
IF(H598&lt;29, 6.25,
IF(H598&lt;50, 6.5,
IF(H598&lt;79, 6.75,
VALUE(SUBSTITUTE(
INDEX(RESUMO!$J$2:$J$100, MATCH(1,
(D598&gt;=RESUMO!$H$2:$H$100)*(D598&lt;=RESUMO!$I$2:$I$100)*(H598&gt;=RESUMO!$K$2:$K$100)*(H598&lt;=RESUMO!$L$2:$L$100),
0)), "R$ ", ""))
))))</f>
        <v>0</v>
      </c>
      <c r="K598" s="9"/>
      <c r="L598" s="10" t="e">
        <f t="shared" ref="L598:L600" si="117">S598/H598</f>
        <v>#DIV/0!</v>
      </c>
      <c r="M598" s="7"/>
      <c r="N598" s="48"/>
      <c r="O598" s="78" cm="1">
        <f t="array" ref="O598">IF(M598&lt;12.5, 0,
IF(M598&lt;29, 6.25,
IF(M598&lt;50, 6.5,
IF(M598&lt;79, 6.75,
VALUE(SUBSTITUTE(
INDEX(RESUMO!$J$2:$J$100, MATCH(1,
(D598&gt;=RESUMO!$H$2:$H$100)*(D598&lt;=RESUMO!$I$2:$I$100)*(M598&gt;=RESUMO!$K$2:$K$100)*(M598&lt;=RESUMO!$L$2:$L$100),
0)), "R$ ", ""))
))))</f>
        <v>0</v>
      </c>
      <c r="P598" s="9"/>
      <c r="Q598" s="10" t="e">
        <f t="shared" ref="Q598:Q600" si="118">U598/M598</f>
        <v>#DIV/0!</v>
      </c>
      <c r="R598" s="5">
        <f t="shared" ref="R598:R600" si="119">(H598-(H598*I598)-J598-(C598*E598)+K598)</f>
        <v>-4.8239999999999998</v>
      </c>
      <c r="S598" s="5">
        <f t="shared" ref="S598:S600" si="120">R598-(C598-F598)</f>
        <v>-125.42399999999999</v>
      </c>
      <c r="T598" s="5">
        <f t="shared" ref="T598:T600" si="121">(M598-(M598*N598)-O598-(C598*E598)+P598)</f>
        <v>-4.8239999999999998</v>
      </c>
      <c r="U598" s="5">
        <f t="shared" ref="U598:U600" si="122">T598-(C598-F598)</f>
        <v>-125.42399999999999</v>
      </c>
    </row>
    <row r="599" spans="1:21" x14ac:dyDescent="0.25">
      <c r="A599" s="11"/>
      <c r="B599" s="6" t="s">
        <v>657</v>
      </c>
      <c r="C599" s="9">
        <v>93.51</v>
      </c>
      <c r="D599" s="6"/>
      <c r="E599" s="8">
        <v>0.04</v>
      </c>
      <c r="F599" s="49">
        <v>0</v>
      </c>
      <c r="G599" s="9">
        <v>0</v>
      </c>
      <c r="H599" s="9"/>
      <c r="I599" s="48"/>
      <c r="J599" s="78" cm="1">
        <f t="array" ref="J599">IF(H599&lt;12.5, H599/2,
IF(H599&lt;29, 6.25,
IF(H599&lt;50, 6.5,
IF(H599&lt;79, 6.75,
VALUE(SUBSTITUTE(
INDEX(RESUMO!$J$2:$J$100, MATCH(1,
(D599&gt;=RESUMO!$H$2:$H$100)*(D599&lt;=RESUMO!$I$2:$I$100)*(H599&gt;=RESUMO!$K$2:$K$100)*(H599&lt;=RESUMO!$L$2:$L$100),
0)), "R$ ", ""))
))))</f>
        <v>0</v>
      </c>
      <c r="K599" s="9"/>
      <c r="L599" s="10" t="e">
        <f t="shared" si="117"/>
        <v>#DIV/0!</v>
      </c>
      <c r="M599" s="7"/>
      <c r="N599" s="48"/>
      <c r="O599" s="78" cm="1">
        <f t="array" ref="O599">IF(M599&lt;12.5, 0,
IF(M599&lt;29, 6.25,
IF(M599&lt;50, 6.5,
IF(M599&lt;79, 6.75,
VALUE(SUBSTITUTE(
INDEX(RESUMO!$J$2:$J$100, MATCH(1,
(D599&gt;=RESUMO!$H$2:$H$100)*(D599&lt;=RESUMO!$I$2:$I$100)*(M599&gt;=RESUMO!$K$2:$K$100)*(M599&lt;=RESUMO!$L$2:$L$100),
0)), "R$ ", ""))
))))</f>
        <v>0</v>
      </c>
      <c r="P599" s="9"/>
      <c r="Q599" s="10" t="e">
        <f t="shared" si="118"/>
        <v>#DIV/0!</v>
      </c>
      <c r="R599" s="5">
        <f t="shared" si="119"/>
        <v>-3.7404000000000002</v>
      </c>
      <c r="S599" s="5">
        <f t="shared" si="120"/>
        <v>-97.250399999999999</v>
      </c>
      <c r="T599" s="5">
        <f t="shared" si="121"/>
        <v>-3.7404000000000002</v>
      </c>
      <c r="U599" s="5">
        <f t="shared" si="122"/>
        <v>-97.250399999999999</v>
      </c>
    </row>
    <row r="600" spans="1:21" x14ac:dyDescent="0.25">
      <c r="A600" s="11"/>
      <c r="B600" s="6" t="s">
        <v>658</v>
      </c>
      <c r="C600" s="9">
        <v>93.51</v>
      </c>
      <c r="D600" s="6"/>
      <c r="E600" s="8">
        <v>0.04</v>
      </c>
      <c r="F600" s="49">
        <v>0</v>
      </c>
      <c r="G600" s="9">
        <v>0</v>
      </c>
      <c r="H600" s="9"/>
      <c r="I600" s="48"/>
      <c r="J600" s="78" cm="1">
        <f t="array" ref="J600">IF(H600&lt;12.5, H600/2,
IF(H600&lt;29, 6.25,
IF(H600&lt;50, 6.5,
IF(H600&lt;79, 6.75,
VALUE(SUBSTITUTE(
INDEX(RESUMO!$J$2:$J$100, MATCH(1,
(D600&gt;=RESUMO!$H$2:$H$100)*(D600&lt;=RESUMO!$I$2:$I$100)*(H600&gt;=RESUMO!$K$2:$K$100)*(H600&lt;=RESUMO!$L$2:$L$100),
0)), "R$ ", ""))
))))</f>
        <v>0</v>
      </c>
      <c r="K600" s="9"/>
      <c r="L600" s="10" t="e">
        <f t="shared" si="117"/>
        <v>#DIV/0!</v>
      </c>
      <c r="M600" s="7"/>
      <c r="N600" s="48"/>
      <c r="O600" s="78" cm="1">
        <f t="array" ref="O600">IF(M600&lt;12.5, 0,
IF(M600&lt;29, 6.25,
IF(M600&lt;50, 6.5,
IF(M600&lt;79, 6.75,
VALUE(SUBSTITUTE(
INDEX(RESUMO!$J$2:$J$100, MATCH(1,
(D600&gt;=RESUMO!$H$2:$H$100)*(D600&lt;=RESUMO!$I$2:$I$100)*(M600&gt;=RESUMO!$K$2:$K$100)*(M600&lt;=RESUMO!$L$2:$L$100),
0)), "R$ ", ""))
))))</f>
        <v>0</v>
      </c>
      <c r="P600" s="9"/>
      <c r="Q600" s="10" t="e">
        <f t="shared" si="118"/>
        <v>#DIV/0!</v>
      </c>
      <c r="R600" s="5">
        <f t="shared" si="119"/>
        <v>-3.7404000000000002</v>
      </c>
      <c r="S600" s="5">
        <f t="shared" si="120"/>
        <v>-97.250399999999999</v>
      </c>
      <c r="T600" s="5">
        <f t="shared" si="121"/>
        <v>-3.7404000000000002</v>
      </c>
      <c r="U600" s="5">
        <f t="shared" si="122"/>
        <v>-97.250399999999999</v>
      </c>
    </row>
    <row r="601" spans="1:21" x14ac:dyDescent="0.25">
      <c r="A601" s="11"/>
      <c r="B601" s="6" t="s">
        <v>659</v>
      </c>
      <c r="C601" s="9">
        <v>93.51</v>
      </c>
      <c r="D601" s="6"/>
      <c r="E601" s="8">
        <v>0.04</v>
      </c>
      <c r="F601" s="49">
        <v>0</v>
      </c>
      <c r="G601" s="9">
        <v>0</v>
      </c>
      <c r="H601" s="9"/>
      <c r="I601" s="48"/>
      <c r="J601" s="78" cm="1">
        <f t="array" ref="J601">IF(H601&lt;12.5, H601/2,
IF(H601&lt;29, 6.25,
IF(H601&lt;50, 6.5,
IF(H601&lt;79, 6.75,
VALUE(SUBSTITUTE(
INDEX(RESUMO!$J$2:$J$100, MATCH(1,
(D601&gt;=RESUMO!$H$2:$H$100)*(D601&lt;=RESUMO!$I$2:$I$100)*(H601&gt;=RESUMO!$K$2:$K$100)*(H601&lt;=RESUMO!$L$2:$L$100),
0)), "R$ ", ""))
))))</f>
        <v>0</v>
      </c>
      <c r="K601" s="9"/>
      <c r="L601" s="10" t="e">
        <f t="shared" ref="L601:L608" si="123">S601/H601</f>
        <v>#DIV/0!</v>
      </c>
      <c r="M601" s="7"/>
      <c r="N601" s="48"/>
      <c r="O601" s="78" cm="1">
        <f t="array" ref="O601">IF(M601&lt;12.5, 0,
IF(M601&lt;29, 6.25,
IF(M601&lt;50, 6.5,
IF(M601&lt;79, 6.75,
VALUE(SUBSTITUTE(
INDEX(RESUMO!$J$2:$J$100, MATCH(1,
(D601&gt;=RESUMO!$H$2:$H$100)*(D601&lt;=RESUMO!$I$2:$I$100)*(M601&gt;=RESUMO!$K$2:$K$100)*(M601&lt;=RESUMO!$L$2:$L$100),
0)), "R$ ", ""))
))))</f>
        <v>0</v>
      </c>
      <c r="P601" s="9"/>
      <c r="Q601" s="10" t="e">
        <f t="shared" ref="Q601:Q608" si="124">U601/M601</f>
        <v>#DIV/0!</v>
      </c>
      <c r="R601" s="5">
        <f t="shared" ref="R601:R608" si="125">(H601-(H601*I601)-J601-(C601*E601)+K601)</f>
        <v>-3.7404000000000002</v>
      </c>
      <c r="S601" s="5">
        <f t="shared" ref="S601:S608" si="126">R601-(C601-F601)</f>
        <v>-97.250399999999999</v>
      </c>
      <c r="T601" s="5">
        <f t="shared" ref="T601:T608" si="127">(M601-(M601*N601)-O601-(C601*E601)+P601)</f>
        <v>-3.7404000000000002</v>
      </c>
      <c r="U601" s="5">
        <f t="shared" ref="U601:U608" si="128">T601-(C601-F601)</f>
        <v>-97.250399999999999</v>
      </c>
    </row>
    <row r="602" spans="1:21" x14ac:dyDescent="0.25">
      <c r="A602" s="11"/>
      <c r="B602" s="6" t="s">
        <v>660</v>
      </c>
      <c r="C602" s="9">
        <v>43.08</v>
      </c>
      <c r="D602" s="6"/>
      <c r="E602" s="8">
        <v>0.04</v>
      </c>
      <c r="F602" s="49">
        <v>0</v>
      </c>
      <c r="G602" s="9">
        <v>0</v>
      </c>
      <c r="H602" s="9"/>
      <c r="I602" s="48"/>
      <c r="J602" s="78" cm="1">
        <f t="array" ref="J602">IF(H602&lt;12.5, H602/2,
IF(H602&lt;29, 6.25,
IF(H602&lt;50, 6.5,
IF(H602&lt;79, 6.75,
VALUE(SUBSTITUTE(
INDEX(RESUMO!$J$2:$J$100, MATCH(1,
(D602&gt;=RESUMO!$H$2:$H$100)*(D602&lt;=RESUMO!$I$2:$I$100)*(H602&gt;=RESUMO!$K$2:$K$100)*(H602&lt;=RESUMO!$L$2:$L$100),
0)), "R$ ", ""))
))))</f>
        <v>0</v>
      </c>
      <c r="K602" s="9"/>
      <c r="L602" s="10" t="e">
        <f t="shared" si="123"/>
        <v>#DIV/0!</v>
      </c>
      <c r="M602" s="7"/>
      <c r="N602" s="48"/>
      <c r="O602" s="78" cm="1">
        <f t="array" ref="O602">IF(M602&lt;12.5, 0,
IF(M602&lt;29, 6.25,
IF(M602&lt;50, 6.5,
IF(M602&lt;79, 6.75,
VALUE(SUBSTITUTE(
INDEX(RESUMO!$J$2:$J$100, MATCH(1,
(D602&gt;=RESUMO!$H$2:$H$100)*(D602&lt;=RESUMO!$I$2:$I$100)*(M602&gt;=RESUMO!$K$2:$K$100)*(M602&lt;=RESUMO!$L$2:$L$100),
0)), "R$ ", ""))
))))</f>
        <v>0</v>
      </c>
      <c r="P602" s="9"/>
      <c r="Q602" s="10" t="e">
        <f t="shared" si="124"/>
        <v>#DIV/0!</v>
      </c>
      <c r="R602" s="5">
        <f t="shared" si="125"/>
        <v>-1.7232000000000001</v>
      </c>
      <c r="S602" s="5">
        <f t="shared" si="126"/>
        <v>-44.803199999999997</v>
      </c>
      <c r="T602" s="5">
        <f t="shared" si="127"/>
        <v>-1.7232000000000001</v>
      </c>
      <c r="U602" s="5">
        <f t="shared" si="128"/>
        <v>-44.803199999999997</v>
      </c>
    </row>
    <row r="603" spans="1:21" x14ac:dyDescent="0.25">
      <c r="A603" s="11"/>
      <c r="B603" s="6" t="s">
        <v>661</v>
      </c>
      <c r="C603" s="9">
        <v>130.44999999999999</v>
      </c>
      <c r="D603" s="6"/>
      <c r="E603" s="8">
        <v>0.04</v>
      </c>
      <c r="F603" s="49">
        <v>0</v>
      </c>
      <c r="G603" s="9">
        <v>0</v>
      </c>
      <c r="H603" s="9"/>
      <c r="I603" s="48"/>
      <c r="J603" s="78" cm="1">
        <f t="array" ref="J603">IF(H603&lt;12.5, H603/2,
IF(H603&lt;29, 6.25,
IF(H603&lt;50, 6.5,
IF(H603&lt;79, 6.75,
VALUE(SUBSTITUTE(
INDEX(RESUMO!$J$2:$J$100, MATCH(1,
(D603&gt;=RESUMO!$H$2:$H$100)*(D603&lt;=RESUMO!$I$2:$I$100)*(H603&gt;=RESUMO!$K$2:$K$100)*(H603&lt;=RESUMO!$L$2:$L$100),
0)), "R$ ", ""))
))))</f>
        <v>0</v>
      </c>
      <c r="K603" s="9"/>
      <c r="L603" s="10" t="e">
        <f t="shared" si="123"/>
        <v>#DIV/0!</v>
      </c>
      <c r="M603" s="7"/>
      <c r="N603" s="48"/>
      <c r="O603" s="78" cm="1">
        <f t="array" ref="O603">IF(M603&lt;12.5, 0,
IF(M603&lt;29, 6.25,
IF(M603&lt;50, 6.5,
IF(M603&lt;79, 6.75,
VALUE(SUBSTITUTE(
INDEX(RESUMO!$J$2:$J$100, MATCH(1,
(D603&gt;=RESUMO!$H$2:$H$100)*(D603&lt;=RESUMO!$I$2:$I$100)*(M603&gt;=RESUMO!$K$2:$K$100)*(M603&lt;=RESUMO!$L$2:$L$100),
0)), "R$ ", ""))
))))</f>
        <v>0</v>
      </c>
      <c r="P603" s="9"/>
      <c r="Q603" s="10" t="e">
        <f t="shared" si="124"/>
        <v>#DIV/0!</v>
      </c>
      <c r="R603" s="5">
        <f t="shared" si="125"/>
        <v>-5.218</v>
      </c>
      <c r="S603" s="5">
        <f t="shared" si="126"/>
        <v>-135.66799999999998</v>
      </c>
      <c r="T603" s="5">
        <f t="shared" si="127"/>
        <v>-5.218</v>
      </c>
      <c r="U603" s="5">
        <f t="shared" si="128"/>
        <v>-135.66799999999998</v>
      </c>
    </row>
    <row r="604" spans="1:21" x14ac:dyDescent="0.25">
      <c r="A604" s="11"/>
      <c r="B604" s="6" t="s">
        <v>662</v>
      </c>
      <c r="C604" s="9">
        <v>219.41</v>
      </c>
      <c r="D604" s="6"/>
      <c r="E604" s="8">
        <v>0.04</v>
      </c>
      <c r="F604" s="49">
        <v>0</v>
      </c>
      <c r="G604" s="9">
        <v>0</v>
      </c>
      <c r="H604" s="9"/>
      <c r="I604" s="48"/>
      <c r="J604" s="78" cm="1">
        <f t="array" ref="J604">IF(H604&lt;12.5, H604/2,
IF(H604&lt;29, 6.25,
IF(H604&lt;50, 6.5,
IF(H604&lt;79, 6.75,
VALUE(SUBSTITUTE(
INDEX(RESUMO!$J$2:$J$100, MATCH(1,
(D604&gt;=RESUMO!$H$2:$H$100)*(D604&lt;=RESUMO!$I$2:$I$100)*(H604&gt;=RESUMO!$K$2:$K$100)*(H604&lt;=RESUMO!$L$2:$L$100),
0)), "R$ ", ""))
))))</f>
        <v>0</v>
      </c>
      <c r="K604" s="9"/>
      <c r="L604" s="10" t="e">
        <f t="shared" si="123"/>
        <v>#DIV/0!</v>
      </c>
      <c r="M604" s="7"/>
      <c r="N604" s="48"/>
      <c r="O604" s="78" cm="1">
        <f t="array" ref="O604">IF(M604&lt;12.5, 0,
IF(M604&lt;29, 6.25,
IF(M604&lt;50, 6.5,
IF(M604&lt;79, 6.75,
VALUE(SUBSTITUTE(
INDEX(RESUMO!$J$2:$J$100, MATCH(1,
(D604&gt;=RESUMO!$H$2:$H$100)*(D604&lt;=RESUMO!$I$2:$I$100)*(M604&gt;=RESUMO!$K$2:$K$100)*(M604&lt;=RESUMO!$L$2:$L$100),
0)), "R$ ", ""))
))))</f>
        <v>0</v>
      </c>
      <c r="P604" s="9"/>
      <c r="Q604" s="10" t="e">
        <f t="shared" si="124"/>
        <v>#DIV/0!</v>
      </c>
      <c r="R604" s="5">
        <f t="shared" si="125"/>
        <v>-8.7764000000000006</v>
      </c>
      <c r="S604" s="5">
        <f t="shared" si="126"/>
        <v>-228.18639999999999</v>
      </c>
      <c r="T604" s="5">
        <f t="shared" si="127"/>
        <v>-8.7764000000000006</v>
      </c>
      <c r="U604" s="5">
        <f t="shared" si="128"/>
        <v>-228.18639999999999</v>
      </c>
    </row>
    <row r="605" spans="1:21" x14ac:dyDescent="0.25">
      <c r="A605" s="11"/>
      <c r="B605" s="6" t="s">
        <v>663</v>
      </c>
      <c r="C605" s="9">
        <v>1603.12</v>
      </c>
      <c r="D605" s="6"/>
      <c r="E605" s="8">
        <v>0.04</v>
      </c>
      <c r="F605" s="49">
        <v>0</v>
      </c>
      <c r="G605" s="9">
        <v>0</v>
      </c>
      <c r="H605" s="9"/>
      <c r="I605" s="48"/>
      <c r="J605" s="78" cm="1">
        <f t="array" ref="J605">IF(H605&lt;12.5, H605/2,
IF(H605&lt;29, 6.25,
IF(H605&lt;50, 6.5,
IF(H605&lt;79, 6.75,
VALUE(SUBSTITUTE(
INDEX(RESUMO!$J$2:$J$100, MATCH(1,
(D605&gt;=RESUMO!$H$2:$H$100)*(D605&lt;=RESUMO!$I$2:$I$100)*(H605&gt;=RESUMO!$K$2:$K$100)*(H605&lt;=RESUMO!$L$2:$L$100),
0)), "R$ ", ""))
))))</f>
        <v>0</v>
      </c>
      <c r="K605" s="9"/>
      <c r="L605" s="10" t="e">
        <f t="shared" si="123"/>
        <v>#DIV/0!</v>
      </c>
      <c r="M605" s="7"/>
      <c r="N605" s="48"/>
      <c r="O605" s="78" cm="1">
        <f t="array" ref="O605">IF(M605&lt;12.5, 0,
IF(M605&lt;29, 6.25,
IF(M605&lt;50, 6.5,
IF(M605&lt;79, 6.75,
VALUE(SUBSTITUTE(
INDEX(RESUMO!$J$2:$J$100, MATCH(1,
(D605&gt;=RESUMO!$H$2:$H$100)*(D605&lt;=RESUMO!$I$2:$I$100)*(M605&gt;=RESUMO!$K$2:$K$100)*(M605&lt;=RESUMO!$L$2:$L$100),
0)), "R$ ", ""))
))))</f>
        <v>0</v>
      </c>
      <c r="P605" s="9"/>
      <c r="Q605" s="10" t="e">
        <f t="shared" si="124"/>
        <v>#DIV/0!</v>
      </c>
      <c r="R605" s="5">
        <f t="shared" si="125"/>
        <v>-64.124799999999993</v>
      </c>
      <c r="S605" s="5">
        <f t="shared" si="126"/>
        <v>-1667.2447999999999</v>
      </c>
      <c r="T605" s="5">
        <f t="shared" si="127"/>
        <v>-64.124799999999993</v>
      </c>
      <c r="U605" s="5">
        <f t="shared" si="128"/>
        <v>-1667.2447999999999</v>
      </c>
    </row>
    <row r="606" spans="1:21" x14ac:dyDescent="0.25">
      <c r="A606" s="11"/>
      <c r="B606" s="6" t="s">
        <v>664</v>
      </c>
      <c r="C606" s="9">
        <v>717.71</v>
      </c>
      <c r="D606" s="6"/>
      <c r="E606" s="8">
        <v>0.04</v>
      </c>
      <c r="F606" s="49">
        <v>0</v>
      </c>
      <c r="G606" s="9">
        <v>0</v>
      </c>
      <c r="H606" s="9"/>
      <c r="I606" s="48"/>
      <c r="J606" s="78" cm="1">
        <f t="array" ref="J606">IF(H606&lt;12.5, H606/2,
IF(H606&lt;29, 6.25,
IF(H606&lt;50, 6.5,
IF(H606&lt;79, 6.75,
VALUE(SUBSTITUTE(
INDEX(RESUMO!$J$2:$J$100, MATCH(1,
(D606&gt;=RESUMO!$H$2:$H$100)*(D606&lt;=RESUMO!$I$2:$I$100)*(H606&gt;=RESUMO!$K$2:$K$100)*(H606&lt;=RESUMO!$L$2:$L$100),
0)), "R$ ", ""))
))))</f>
        <v>0</v>
      </c>
      <c r="K606" s="9"/>
      <c r="L606" s="10" t="e">
        <f t="shared" si="123"/>
        <v>#DIV/0!</v>
      </c>
      <c r="M606" s="7"/>
      <c r="N606" s="48"/>
      <c r="O606" s="78" cm="1">
        <f t="array" ref="O606">IF(M606&lt;12.5, 0,
IF(M606&lt;29, 6.25,
IF(M606&lt;50, 6.5,
IF(M606&lt;79, 6.75,
VALUE(SUBSTITUTE(
INDEX(RESUMO!$J$2:$J$100, MATCH(1,
(D606&gt;=RESUMO!$H$2:$H$100)*(D606&lt;=RESUMO!$I$2:$I$100)*(M606&gt;=RESUMO!$K$2:$K$100)*(M606&lt;=RESUMO!$L$2:$L$100),
0)), "R$ ", ""))
))))</f>
        <v>0</v>
      </c>
      <c r="P606" s="9"/>
      <c r="Q606" s="10" t="e">
        <f t="shared" si="124"/>
        <v>#DIV/0!</v>
      </c>
      <c r="R606" s="5">
        <f t="shared" si="125"/>
        <v>-28.708400000000001</v>
      </c>
      <c r="S606" s="5">
        <f t="shared" si="126"/>
        <v>-746.41840000000002</v>
      </c>
      <c r="T606" s="5">
        <f t="shared" si="127"/>
        <v>-28.708400000000001</v>
      </c>
      <c r="U606" s="5">
        <f t="shared" si="128"/>
        <v>-746.41840000000002</v>
      </c>
    </row>
    <row r="607" spans="1:21" x14ac:dyDescent="0.25">
      <c r="A607" s="11"/>
      <c r="B607" s="6" t="s">
        <v>665</v>
      </c>
      <c r="C607" s="9">
        <v>164.35</v>
      </c>
      <c r="D607" s="6"/>
      <c r="E607" s="8">
        <v>0.04</v>
      </c>
      <c r="F607" s="49">
        <v>0</v>
      </c>
      <c r="G607" s="9">
        <v>0</v>
      </c>
      <c r="H607" s="9"/>
      <c r="I607" s="48"/>
      <c r="J607" s="78" cm="1">
        <f t="array" ref="J607">IF(H607&lt;12.5, H607/2,
IF(H607&lt;29, 6.25,
IF(H607&lt;50, 6.5,
IF(H607&lt;79, 6.75,
VALUE(SUBSTITUTE(
INDEX(RESUMO!$J$2:$J$100, MATCH(1,
(D607&gt;=RESUMO!$H$2:$H$100)*(D607&lt;=RESUMO!$I$2:$I$100)*(H607&gt;=RESUMO!$K$2:$K$100)*(H607&lt;=RESUMO!$L$2:$L$100),
0)), "R$ ", ""))
))))</f>
        <v>0</v>
      </c>
      <c r="K607" s="9"/>
      <c r="L607" s="10" t="e">
        <f t="shared" si="123"/>
        <v>#DIV/0!</v>
      </c>
      <c r="M607" s="7"/>
      <c r="N607" s="48"/>
      <c r="O607" s="78" cm="1">
        <f t="array" ref="O607">IF(M607&lt;12.5, 0,
IF(M607&lt;29, 6.25,
IF(M607&lt;50, 6.5,
IF(M607&lt;79, 6.75,
VALUE(SUBSTITUTE(
INDEX(RESUMO!$J$2:$J$100, MATCH(1,
(D607&gt;=RESUMO!$H$2:$H$100)*(D607&lt;=RESUMO!$I$2:$I$100)*(M607&gt;=RESUMO!$K$2:$K$100)*(M607&lt;=RESUMO!$L$2:$L$100),
0)), "R$ ", ""))
))))</f>
        <v>0</v>
      </c>
      <c r="P607" s="9"/>
      <c r="Q607" s="10" t="e">
        <f t="shared" si="124"/>
        <v>#DIV/0!</v>
      </c>
      <c r="R607" s="5">
        <f t="shared" si="125"/>
        <v>-6.5739999999999998</v>
      </c>
      <c r="S607" s="5">
        <f t="shared" si="126"/>
        <v>-170.92400000000001</v>
      </c>
      <c r="T607" s="5">
        <f t="shared" si="127"/>
        <v>-6.5739999999999998</v>
      </c>
      <c r="U607" s="5">
        <f t="shared" si="128"/>
        <v>-170.92400000000001</v>
      </c>
    </row>
    <row r="608" spans="1:21" x14ac:dyDescent="0.25">
      <c r="A608" s="11"/>
      <c r="B608" s="6" t="s">
        <v>666</v>
      </c>
      <c r="C608" s="9">
        <v>125.68</v>
      </c>
      <c r="D608" s="6"/>
      <c r="E608" s="8">
        <v>0.04</v>
      </c>
      <c r="F608" s="49">
        <v>0</v>
      </c>
      <c r="G608" s="9">
        <v>0</v>
      </c>
      <c r="H608" s="9"/>
      <c r="I608" s="48"/>
      <c r="J608" s="78" cm="1">
        <f t="array" ref="J608">IF(H608&lt;12.5, H608/2,
IF(H608&lt;29, 6.25,
IF(H608&lt;50, 6.5,
IF(H608&lt;79, 6.75,
VALUE(SUBSTITUTE(
INDEX(RESUMO!$J$2:$J$100, MATCH(1,
(D608&gt;=RESUMO!$H$2:$H$100)*(D608&lt;=RESUMO!$I$2:$I$100)*(H608&gt;=RESUMO!$K$2:$K$100)*(H608&lt;=RESUMO!$L$2:$L$100),
0)), "R$ ", ""))
))))</f>
        <v>0</v>
      </c>
      <c r="K608" s="9"/>
      <c r="L608" s="10" t="e">
        <f t="shared" si="123"/>
        <v>#DIV/0!</v>
      </c>
      <c r="M608" s="7"/>
      <c r="N608" s="48"/>
      <c r="O608" s="78" cm="1">
        <f t="array" ref="O608">IF(M608&lt;12.5, 0,
IF(M608&lt;29, 6.25,
IF(M608&lt;50, 6.5,
IF(M608&lt;79, 6.75,
VALUE(SUBSTITUTE(
INDEX(RESUMO!$J$2:$J$100, MATCH(1,
(D608&gt;=RESUMO!$H$2:$H$100)*(D608&lt;=RESUMO!$I$2:$I$100)*(M608&gt;=RESUMO!$K$2:$K$100)*(M608&lt;=RESUMO!$L$2:$L$100),
0)), "R$ ", ""))
))))</f>
        <v>0</v>
      </c>
      <c r="P608" s="9"/>
      <c r="Q608" s="10" t="e">
        <f t="shared" si="124"/>
        <v>#DIV/0!</v>
      </c>
      <c r="R608" s="5">
        <f t="shared" si="125"/>
        <v>-5.0272000000000006</v>
      </c>
      <c r="S608" s="5">
        <f t="shared" si="126"/>
        <v>-130.7072</v>
      </c>
      <c r="T608" s="5">
        <f t="shared" si="127"/>
        <v>-5.0272000000000006</v>
      </c>
      <c r="U608" s="5">
        <f t="shared" si="128"/>
        <v>-130.7072</v>
      </c>
    </row>
    <row r="609" spans="1:21" x14ac:dyDescent="0.25">
      <c r="A609" s="11"/>
      <c r="B609" s="6" t="s">
        <v>667</v>
      </c>
      <c r="C609" s="9">
        <v>169.48</v>
      </c>
      <c r="D609" s="6"/>
      <c r="E609" s="8">
        <v>0.04</v>
      </c>
      <c r="F609" s="49">
        <v>0</v>
      </c>
      <c r="G609" s="9">
        <v>0</v>
      </c>
      <c r="H609" s="9"/>
      <c r="I609" s="48"/>
      <c r="J609" s="78" cm="1">
        <f t="array" ref="J609">IF(H609&lt;12.5, H609/2,
IF(H609&lt;29, 6.25,
IF(H609&lt;50, 6.5,
IF(H609&lt;79, 6.75,
VALUE(SUBSTITUTE(
INDEX(RESUMO!$J$2:$J$100, MATCH(1,
(D609&gt;=RESUMO!$H$2:$H$100)*(D609&lt;=RESUMO!$I$2:$I$100)*(H609&gt;=RESUMO!$K$2:$K$100)*(H609&lt;=RESUMO!$L$2:$L$100),
0)), "R$ ", ""))
))))</f>
        <v>0</v>
      </c>
      <c r="K609" s="9"/>
      <c r="L609" s="10" t="e">
        <f t="shared" ref="L609:L618" si="129">S609/H609</f>
        <v>#DIV/0!</v>
      </c>
      <c r="M609" s="7"/>
      <c r="N609" s="48"/>
      <c r="O609" s="78" cm="1">
        <f t="array" ref="O609">IF(M609&lt;12.5, 0,
IF(M609&lt;29, 6.25,
IF(M609&lt;50, 6.5,
IF(M609&lt;79, 6.75,
VALUE(SUBSTITUTE(
INDEX(RESUMO!$J$2:$J$100, MATCH(1,
(D609&gt;=RESUMO!$H$2:$H$100)*(D609&lt;=RESUMO!$I$2:$I$100)*(M609&gt;=RESUMO!$K$2:$K$100)*(M609&lt;=RESUMO!$L$2:$L$100),
0)), "R$ ", ""))
))))</f>
        <v>0</v>
      </c>
      <c r="P609" s="9"/>
      <c r="Q609" s="10" t="e">
        <f t="shared" ref="Q609:Q618" si="130">U609/M609</f>
        <v>#DIV/0!</v>
      </c>
      <c r="R609" s="5">
        <f t="shared" ref="R609:R618" si="131">(H609-(H609*I609)-J609-(C609*E609)+K609)</f>
        <v>-6.7791999999999994</v>
      </c>
      <c r="S609" s="5">
        <f t="shared" ref="S609:S618" si="132">R609-(C609-F609)</f>
        <v>-176.25919999999999</v>
      </c>
      <c r="T609" s="5">
        <f t="shared" ref="T609:T618" si="133">(M609-(M609*N609)-O609-(C609*E609)+P609)</f>
        <v>-6.7791999999999994</v>
      </c>
      <c r="U609" s="5">
        <f t="shared" ref="U609:U618" si="134">T609-(C609-F609)</f>
        <v>-176.25919999999999</v>
      </c>
    </row>
    <row r="610" spans="1:21" x14ac:dyDescent="0.25">
      <c r="A610" s="11"/>
      <c r="B610" s="6" t="s">
        <v>668</v>
      </c>
      <c r="C610" s="9">
        <v>210.58</v>
      </c>
      <c r="D610" s="6"/>
      <c r="E610" s="8">
        <v>0.04</v>
      </c>
      <c r="F610" s="49">
        <v>0</v>
      </c>
      <c r="G610" s="9">
        <v>0</v>
      </c>
      <c r="H610" s="9"/>
      <c r="I610" s="48"/>
      <c r="J610" s="78" cm="1">
        <f t="array" ref="J610">IF(H610&lt;12.5, H610/2,
IF(H610&lt;29, 6.25,
IF(H610&lt;50, 6.5,
IF(H610&lt;79, 6.75,
VALUE(SUBSTITUTE(
INDEX(RESUMO!$J$2:$J$100, MATCH(1,
(D610&gt;=RESUMO!$H$2:$H$100)*(D610&lt;=RESUMO!$I$2:$I$100)*(H610&gt;=RESUMO!$K$2:$K$100)*(H610&lt;=RESUMO!$L$2:$L$100),
0)), "R$ ", ""))
))))</f>
        <v>0</v>
      </c>
      <c r="K610" s="9"/>
      <c r="L610" s="10" t="e">
        <f t="shared" si="129"/>
        <v>#DIV/0!</v>
      </c>
      <c r="M610" s="7"/>
      <c r="N610" s="48"/>
      <c r="O610" s="78" cm="1">
        <f t="array" ref="O610">IF(M610&lt;12.5, 0,
IF(M610&lt;29, 6.25,
IF(M610&lt;50, 6.5,
IF(M610&lt;79, 6.75,
VALUE(SUBSTITUTE(
INDEX(RESUMO!$J$2:$J$100, MATCH(1,
(D610&gt;=RESUMO!$H$2:$H$100)*(D610&lt;=RESUMO!$I$2:$I$100)*(M610&gt;=RESUMO!$K$2:$K$100)*(M610&lt;=RESUMO!$L$2:$L$100),
0)), "R$ ", ""))
))))</f>
        <v>0</v>
      </c>
      <c r="P610" s="9"/>
      <c r="Q610" s="10" t="e">
        <f t="shared" si="130"/>
        <v>#DIV/0!</v>
      </c>
      <c r="R610" s="5">
        <f t="shared" si="131"/>
        <v>-8.4232000000000014</v>
      </c>
      <c r="S610" s="5">
        <f t="shared" si="132"/>
        <v>-219.00320000000002</v>
      </c>
      <c r="T610" s="5">
        <f t="shared" si="133"/>
        <v>-8.4232000000000014</v>
      </c>
      <c r="U610" s="5">
        <f t="shared" si="134"/>
        <v>-219.00320000000002</v>
      </c>
    </row>
    <row r="611" spans="1:21" x14ac:dyDescent="0.25">
      <c r="A611" s="11"/>
      <c r="B611" s="6" t="s">
        <v>669</v>
      </c>
      <c r="C611" s="9">
        <v>97.58</v>
      </c>
      <c r="D611" s="6"/>
      <c r="E611" s="8">
        <v>0.04</v>
      </c>
      <c r="F611" s="49">
        <v>0</v>
      </c>
      <c r="G611" s="9">
        <v>0</v>
      </c>
      <c r="H611" s="9"/>
      <c r="I611" s="48"/>
      <c r="J611" s="78" cm="1">
        <f t="array" ref="J611">IF(H611&lt;12.5, H611/2,
IF(H611&lt;29, 6.25,
IF(H611&lt;50, 6.5,
IF(H611&lt;79, 6.75,
VALUE(SUBSTITUTE(
INDEX(RESUMO!$J$2:$J$100, MATCH(1,
(D611&gt;=RESUMO!$H$2:$H$100)*(D611&lt;=RESUMO!$I$2:$I$100)*(H611&gt;=RESUMO!$K$2:$K$100)*(H611&lt;=RESUMO!$L$2:$L$100),
0)), "R$ ", ""))
))))</f>
        <v>0</v>
      </c>
      <c r="K611" s="9"/>
      <c r="L611" s="10" t="e">
        <f t="shared" si="129"/>
        <v>#DIV/0!</v>
      </c>
      <c r="M611" s="7"/>
      <c r="N611" s="48"/>
      <c r="O611" s="78" cm="1">
        <f t="array" ref="O611">IF(M611&lt;12.5, 0,
IF(M611&lt;29, 6.25,
IF(M611&lt;50, 6.5,
IF(M611&lt;79, 6.75,
VALUE(SUBSTITUTE(
INDEX(RESUMO!$J$2:$J$100, MATCH(1,
(D611&gt;=RESUMO!$H$2:$H$100)*(D611&lt;=RESUMO!$I$2:$I$100)*(M611&gt;=RESUMO!$K$2:$K$100)*(M611&lt;=RESUMO!$L$2:$L$100),
0)), "R$ ", ""))
))))</f>
        <v>0</v>
      </c>
      <c r="P611" s="9"/>
      <c r="Q611" s="10" t="e">
        <f t="shared" si="130"/>
        <v>#DIV/0!</v>
      </c>
      <c r="R611" s="5">
        <f t="shared" si="131"/>
        <v>-3.9032</v>
      </c>
      <c r="S611" s="5">
        <f t="shared" si="132"/>
        <v>-101.4832</v>
      </c>
      <c r="T611" s="5">
        <f t="shared" si="133"/>
        <v>-3.9032</v>
      </c>
      <c r="U611" s="5">
        <f t="shared" si="134"/>
        <v>-101.4832</v>
      </c>
    </row>
    <row r="612" spans="1:21" x14ac:dyDescent="0.25">
      <c r="A612" s="11"/>
      <c r="B612" s="6" t="s">
        <v>670</v>
      </c>
      <c r="C612" s="9">
        <v>212.63</v>
      </c>
      <c r="D612" s="6"/>
      <c r="E612" s="8">
        <v>0.04</v>
      </c>
      <c r="F612" s="49">
        <v>0</v>
      </c>
      <c r="G612" s="9">
        <v>0</v>
      </c>
      <c r="H612" s="9"/>
      <c r="I612" s="48"/>
      <c r="J612" s="78" cm="1">
        <f t="array" ref="J612">IF(H612&lt;12.5, H612/2,
IF(H612&lt;29, 6.25,
IF(H612&lt;50, 6.5,
IF(H612&lt;79, 6.75,
VALUE(SUBSTITUTE(
INDEX(RESUMO!$J$2:$J$100, MATCH(1,
(D612&gt;=RESUMO!$H$2:$H$100)*(D612&lt;=RESUMO!$I$2:$I$100)*(H612&gt;=RESUMO!$K$2:$K$100)*(H612&lt;=RESUMO!$L$2:$L$100),
0)), "R$ ", ""))
))))</f>
        <v>0</v>
      </c>
      <c r="K612" s="9"/>
      <c r="L612" s="10" t="e">
        <f t="shared" si="129"/>
        <v>#DIV/0!</v>
      </c>
      <c r="M612" s="7"/>
      <c r="N612" s="48"/>
      <c r="O612" s="78" cm="1">
        <f t="array" ref="O612">IF(M612&lt;12.5, 0,
IF(M612&lt;29, 6.25,
IF(M612&lt;50, 6.5,
IF(M612&lt;79, 6.75,
VALUE(SUBSTITUTE(
INDEX(RESUMO!$J$2:$J$100, MATCH(1,
(D612&gt;=RESUMO!$H$2:$H$100)*(D612&lt;=RESUMO!$I$2:$I$100)*(M612&gt;=RESUMO!$K$2:$K$100)*(M612&lt;=RESUMO!$L$2:$L$100),
0)), "R$ ", ""))
))))</f>
        <v>0</v>
      </c>
      <c r="P612" s="9"/>
      <c r="Q612" s="10" t="e">
        <f t="shared" si="130"/>
        <v>#DIV/0!</v>
      </c>
      <c r="R612" s="5">
        <f t="shared" si="131"/>
        <v>-8.5052000000000003</v>
      </c>
      <c r="S612" s="5">
        <f t="shared" si="132"/>
        <v>-221.1352</v>
      </c>
      <c r="T612" s="5">
        <f t="shared" si="133"/>
        <v>-8.5052000000000003</v>
      </c>
      <c r="U612" s="5">
        <f t="shared" si="134"/>
        <v>-221.1352</v>
      </c>
    </row>
    <row r="613" spans="1:21" x14ac:dyDescent="0.25">
      <c r="A613" s="11"/>
      <c r="B613" s="6" t="s">
        <v>671</v>
      </c>
      <c r="C613" s="9">
        <v>212.63</v>
      </c>
      <c r="D613" s="6"/>
      <c r="E613" s="8">
        <v>0.04</v>
      </c>
      <c r="F613" s="49">
        <v>0</v>
      </c>
      <c r="G613" s="9">
        <v>0</v>
      </c>
      <c r="H613" s="9"/>
      <c r="I613" s="48"/>
      <c r="J613" s="78" cm="1">
        <f t="array" ref="J613">IF(H613&lt;12.5, H613/2,
IF(H613&lt;29, 6.25,
IF(H613&lt;50, 6.5,
IF(H613&lt;79, 6.75,
VALUE(SUBSTITUTE(
INDEX(RESUMO!$J$2:$J$100, MATCH(1,
(D613&gt;=RESUMO!$H$2:$H$100)*(D613&lt;=RESUMO!$I$2:$I$100)*(H613&gt;=RESUMO!$K$2:$K$100)*(H613&lt;=RESUMO!$L$2:$L$100),
0)), "R$ ", ""))
))))</f>
        <v>0</v>
      </c>
      <c r="K613" s="9"/>
      <c r="L613" s="10" t="e">
        <f t="shared" si="129"/>
        <v>#DIV/0!</v>
      </c>
      <c r="M613" s="7"/>
      <c r="N613" s="48"/>
      <c r="O613" s="78" cm="1">
        <f t="array" ref="O613">IF(M613&lt;12.5, 0,
IF(M613&lt;29, 6.25,
IF(M613&lt;50, 6.5,
IF(M613&lt;79, 6.75,
VALUE(SUBSTITUTE(
INDEX(RESUMO!$J$2:$J$100, MATCH(1,
(D613&gt;=RESUMO!$H$2:$H$100)*(D613&lt;=RESUMO!$I$2:$I$100)*(M613&gt;=RESUMO!$K$2:$K$100)*(M613&lt;=RESUMO!$L$2:$L$100),
0)), "R$ ", ""))
))))</f>
        <v>0</v>
      </c>
      <c r="P613" s="9"/>
      <c r="Q613" s="10" t="e">
        <f t="shared" si="130"/>
        <v>#DIV/0!</v>
      </c>
      <c r="R613" s="5">
        <f t="shared" si="131"/>
        <v>-8.5052000000000003</v>
      </c>
      <c r="S613" s="5">
        <f t="shared" si="132"/>
        <v>-221.1352</v>
      </c>
      <c r="T613" s="5">
        <f t="shared" si="133"/>
        <v>-8.5052000000000003</v>
      </c>
      <c r="U613" s="5">
        <f t="shared" si="134"/>
        <v>-221.1352</v>
      </c>
    </row>
    <row r="614" spans="1:21" x14ac:dyDescent="0.25">
      <c r="A614" s="11"/>
      <c r="B614" s="6" t="s">
        <v>672</v>
      </c>
      <c r="C614" s="9">
        <v>464.67</v>
      </c>
      <c r="D614" s="6"/>
      <c r="E614" s="8">
        <v>0.04</v>
      </c>
      <c r="F614" s="49">
        <v>0</v>
      </c>
      <c r="G614" s="9">
        <v>0</v>
      </c>
      <c r="H614" s="9"/>
      <c r="I614" s="48"/>
      <c r="J614" s="78" cm="1">
        <f t="array" ref="J614">IF(H614&lt;12.5, H614/2,
IF(H614&lt;29, 6.25,
IF(H614&lt;50, 6.5,
IF(H614&lt;79, 6.75,
VALUE(SUBSTITUTE(
INDEX(RESUMO!$J$2:$J$100, MATCH(1,
(D614&gt;=RESUMO!$H$2:$H$100)*(D614&lt;=RESUMO!$I$2:$I$100)*(H614&gt;=RESUMO!$K$2:$K$100)*(H614&lt;=RESUMO!$L$2:$L$100),
0)), "R$ ", ""))
))))</f>
        <v>0</v>
      </c>
      <c r="K614" s="9"/>
      <c r="L614" s="10" t="e">
        <f t="shared" si="129"/>
        <v>#DIV/0!</v>
      </c>
      <c r="M614" s="7"/>
      <c r="N614" s="48"/>
      <c r="O614" s="78" cm="1">
        <f t="array" ref="O614">IF(M614&lt;12.5, 0,
IF(M614&lt;29, 6.25,
IF(M614&lt;50, 6.5,
IF(M614&lt;79, 6.75,
VALUE(SUBSTITUTE(
INDEX(RESUMO!$J$2:$J$100, MATCH(1,
(D614&gt;=RESUMO!$H$2:$H$100)*(D614&lt;=RESUMO!$I$2:$I$100)*(M614&gt;=RESUMO!$K$2:$K$100)*(M614&lt;=RESUMO!$L$2:$L$100),
0)), "R$ ", ""))
))))</f>
        <v>0</v>
      </c>
      <c r="P614" s="9"/>
      <c r="Q614" s="10" t="e">
        <f t="shared" si="130"/>
        <v>#DIV/0!</v>
      </c>
      <c r="R614" s="5">
        <f t="shared" si="131"/>
        <v>-18.5868</v>
      </c>
      <c r="S614" s="5">
        <f t="shared" si="132"/>
        <v>-483.2568</v>
      </c>
      <c r="T614" s="5">
        <f t="shared" si="133"/>
        <v>-18.5868</v>
      </c>
      <c r="U614" s="5">
        <f t="shared" si="134"/>
        <v>-483.2568</v>
      </c>
    </row>
    <row r="615" spans="1:21" x14ac:dyDescent="0.25">
      <c r="A615" s="11"/>
      <c r="B615" s="6" t="s">
        <v>673</v>
      </c>
      <c r="C615" s="9">
        <v>464.67</v>
      </c>
      <c r="D615" s="6"/>
      <c r="E615" s="8">
        <v>0.04</v>
      </c>
      <c r="F615" s="49">
        <v>0</v>
      </c>
      <c r="G615" s="9">
        <v>0</v>
      </c>
      <c r="H615" s="9"/>
      <c r="I615" s="48"/>
      <c r="J615" s="78" cm="1">
        <f t="array" ref="J615">IF(H615&lt;12.5, H615/2,
IF(H615&lt;29, 6.25,
IF(H615&lt;50, 6.5,
IF(H615&lt;79, 6.75,
VALUE(SUBSTITUTE(
INDEX(RESUMO!$J$2:$J$100, MATCH(1,
(D615&gt;=RESUMO!$H$2:$H$100)*(D615&lt;=RESUMO!$I$2:$I$100)*(H615&gt;=RESUMO!$K$2:$K$100)*(H615&lt;=RESUMO!$L$2:$L$100),
0)), "R$ ", ""))
))))</f>
        <v>0</v>
      </c>
      <c r="K615" s="9"/>
      <c r="L615" s="10" t="e">
        <f t="shared" si="129"/>
        <v>#DIV/0!</v>
      </c>
      <c r="M615" s="7"/>
      <c r="N615" s="48"/>
      <c r="O615" s="78" cm="1">
        <f t="array" ref="O615">IF(M615&lt;12.5, 0,
IF(M615&lt;29, 6.25,
IF(M615&lt;50, 6.5,
IF(M615&lt;79, 6.75,
VALUE(SUBSTITUTE(
INDEX(RESUMO!$J$2:$J$100, MATCH(1,
(D615&gt;=RESUMO!$H$2:$H$100)*(D615&lt;=RESUMO!$I$2:$I$100)*(M615&gt;=RESUMO!$K$2:$K$100)*(M615&lt;=RESUMO!$L$2:$L$100),
0)), "R$ ", ""))
))))</f>
        <v>0</v>
      </c>
      <c r="P615" s="9"/>
      <c r="Q615" s="10" t="e">
        <f t="shared" si="130"/>
        <v>#DIV/0!</v>
      </c>
      <c r="R615" s="5">
        <f t="shared" si="131"/>
        <v>-18.5868</v>
      </c>
      <c r="S615" s="5">
        <f t="shared" si="132"/>
        <v>-483.2568</v>
      </c>
      <c r="T615" s="5">
        <f t="shared" si="133"/>
        <v>-18.5868</v>
      </c>
      <c r="U615" s="5">
        <f t="shared" si="134"/>
        <v>-483.2568</v>
      </c>
    </row>
    <row r="616" spans="1:21" x14ac:dyDescent="0.25">
      <c r="A616" s="11"/>
      <c r="B616" s="6" t="s">
        <v>674</v>
      </c>
      <c r="C616" s="9">
        <v>219.29</v>
      </c>
      <c r="D616" s="6"/>
      <c r="E616" s="8">
        <v>0.04</v>
      </c>
      <c r="F616" s="49">
        <v>0</v>
      </c>
      <c r="G616" s="9">
        <v>0</v>
      </c>
      <c r="H616" s="9"/>
      <c r="I616" s="48"/>
      <c r="J616" s="78" cm="1">
        <f t="array" ref="J616">IF(H616&lt;12.5, H616/2,
IF(H616&lt;29, 6.25,
IF(H616&lt;50, 6.5,
IF(H616&lt;79, 6.75,
VALUE(SUBSTITUTE(
INDEX(RESUMO!$J$2:$J$100, MATCH(1,
(D616&gt;=RESUMO!$H$2:$H$100)*(D616&lt;=RESUMO!$I$2:$I$100)*(H616&gt;=RESUMO!$K$2:$K$100)*(H616&lt;=RESUMO!$L$2:$L$100),
0)), "R$ ", ""))
))))</f>
        <v>0</v>
      </c>
      <c r="K616" s="9"/>
      <c r="L616" s="10" t="e">
        <f t="shared" si="129"/>
        <v>#DIV/0!</v>
      </c>
      <c r="M616" s="7"/>
      <c r="N616" s="48"/>
      <c r="O616" s="78" cm="1">
        <f t="array" ref="O616">IF(M616&lt;12.5, 0,
IF(M616&lt;29, 6.25,
IF(M616&lt;50, 6.5,
IF(M616&lt;79, 6.75,
VALUE(SUBSTITUTE(
INDEX(RESUMO!$J$2:$J$100, MATCH(1,
(D616&gt;=RESUMO!$H$2:$H$100)*(D616&lt;=RESUMO!$I$2:$I$100)*(M616&gt;=RESUMO!$K$2:$K$100)*(M616&lt;=RESUMO!$L$2:$L$100),
0)), "R$ ", ""))
))))</f>
        <v>0</v>
      </c>
      <c r="P616" s="9"/>
      <c r="Q616" s="10" t="e">
        <f t="shared" si="130"/>
        <v>#DIV/0!</v>
      </c>
      <c r="R616" s="5">
        <f t="shared" si="131"/>
        <v>-8.7715999999999994</v>
      </c>
      <c r="S616" s="5">
        <f t="shared" si="132"/>
        <v>-228.0616</v>
      </c>
      <c r="T616" s="5">
        <f t="shared" si="133"/>
        <v>-8.7715999999999994</v>
      </c>
      <c r="U616" s="5">
        <f t="shared" si="134"/>
        <v>-228.0616</v>
      </c>
    </row>
    <row r="617" spans="1:21" x14ac:dyDescent="0.25">
      <c r="A617" s="11"/>
      <c r="B617" s="6" t="s">
        <v>675</v>
      </c>
      <c r="C617" s="9">
        <v>111.74</v>
      </c>
      <c r="D617" s="6"/>
      <c r="E617" s="8">
        <v>0.04</v>
      </c>
      <c r="F617" s="49">
        <v>0</v>
      </c>
      <c r="G617" s="9">
        <v>0</v>
      </c>
      <c r="H617" s="9"/>
      <c r="I617" s="48"/>
      <c r="J617" s="78" cm="1">
        <f t="array" ref="J617">IF(H617&lt;12.5, H617/2,
IF(H617&lt;29, 6.25,
IF(H617&lt;50, 6.5,
IF(H617&lt;79, 6.75,
VALUE(SUBSTITUTE(
INDEX(RESUMO!$J$2:$J$100, MATCH(1,
(D617&gt;=RESUMO!$H$2:$H$100)*(D617&lt;=RESUMO!$I$2:$I$100)*(H617&gt;=RESUMO!$K$2:$K$100)*(H617&lt;=RESUMO!$L$2:$L$100),
0)), "R$ ", ""))
))))</f>
        <v>0</v>
      </c>
      <c r="K617" s="9"/>
      <c r="L617" s="10" t="e">
        <f t="shared" si="129"/>
        <v>#DIV/0!</v>
      </c>
      <c r="M617" s="7"/>
      <c r="N617" s="48"/>
      <c r="O617" s="78" cm="1">
        <f t="array" ref="O617">IF(M617&lt;12.5, 0,
IF(M617&lt;29, 6.25,
IF(M617&lt;50, 6.5,
IF(M617&lt;79, 6.75,
VALUE(SUBSTITUTE(
INDEX(RESUMO!$J$2:$J$100, MATCH(1,
(D617&gt;=RESUMO!$H$2:$H$100)*(D617&lt;=RESUMO!$I$2:$I$100)*(M617&gt;=RESUMO!$K$2:$K$100)*(M617&lt;=RESUMO!$L$2:$L$100),
0)), "R$ ", ""))
))))</f>
        <v>0</v>
      </c>
      <c r="P617" s="9"/>
      <c r="Q617" s="10" t="e">
        <f t="shared" si="130"/>
        <v>#DIV/0!</v>
      </c>
      <c r="R617" s="5">
        <f t="shared" si="131"/>
        <v>-4.4695999999999998</v>
      </c>
      <c r="S617" s="5">
        <f t="shared" si="132"/>
        <v>-116.20959999999999</v>
      </c>
      <c r="T617" s="5">
        <f t="shared" si="133"/>
        <v>-4.4695999999999998</v>
      </c>
      <c r="U617" s="5">
        <f t="shared" si="134"/>
        <v>-116.20959999999999</v>
      </c>
    </row>
    <row r="618" spans="1:21" x14ac:dyDescent="0.25">
      <c r="A618" s="11"/>
      <c r="B618" s="6" t="s">
        <v>676</v>
      </c>
      <c r="C618" s="9">
        <v>190.03</v>
      </c>
      <c r="D618" s="6"/>
      <c r="E618" s="8">
        <v>0.04</v>
      </c>
      <c r="F618" s="49">
        <v>0</v>
      </c>
      <c r="G618" s="9">
        <v>0</v>
      </c>
      <c r="H618" s="9"/>
      <c r="I618" s="48"/>
      <c r="J618" s="78" cm="1">
        <f t="array" ref="J618">IF(H618&lt;12.5, H618/2,
IF(H618&lt;29, 6.25,
IF(H618&lt;50, 6.5,
IF(H618&lt;79, 6.75,
VALUE(SUBSTITUTE(
INDEX(RESUMO!$J$2:$J$100, MATCH(1,
(D618&gt;=RESUMO!$H$2:$H$100)*(D618&lt;=RESUMO!$I$2:$I$100)*(H618&gt;=RESUMO!$K$2:$K$100)*(H618&lt;=RESUMO!$L$2:$L$100),
0)), "R$ ", ""))
))))</f>
        <v>0</v>
      </c>
      <c r="K618" s="9"/>
      <c r="L618" s="10" t="e">
        <f t="shared" si="129"/>
        <v>#DIV/0!</v>
      </c>
      <c r="M618" s="7"/>
      <c r="N618" s="48"/>
      <c r="O618" s="78" cm="1">
        <f t="array" ref="O618">IF(M618&lt;12.5, 0,
IF(M618&lt;29, 6.25,
IF(M618&lt;50, 6.5,
IF(M618&lt;79, 6.75,
VALUE(SUBSTITUTE(
INDEX(RESUMO!$J$2:$J$100, MATCH(1,
(D618&gt;=RESUMO!$H$2:$H$100)*(D618&lt;=RESUMO!$I$2:$I$100)*(M618&gt;=RESUMO!$K$2:$K$100)*(M618&lt;=RESUMO!$L$2:$L$100),
0)), "R$ ", ""))
))))</f>
        <v>0</v>
      </c>
      <c r="P618" s="9"/>
      <c r="Q618" s="10" t="e">
        <f t="shared" si="130"/>
        <v>#DIV/0!</v>
      </c>
      <c r="R618" s="5">
        <f t="shared" si="131"/>
        <v>-7.6012000000000004</v>
      </c>
      <c r="S618" s="5">
        <f t="shared" si="132"/>
        <v>-197.63120000000001</v>
      </c>
      <c r="T618" s="5">
        <f t="shared" si="133"/>
        <v>-7.6012000000000004</v>
      </c>
      <c r="U618" s="5">
        <f t="shared" si="134"/>
        <v>-197.63120000000001</v>
      </c>
    </row>
    <row r="619" spans="1:21" x14ac:dyDescent="0.25">
      <c r="A619" s="11"/>
      <c r="B619" s="6" t="s">
        <v>677</v>
      </c>
      <c r="C619" s="9">
        <v>106.36</v>
      </c>
      <c r="D619" s="6"/>
      <c r="E619" s="8">
        <v>0.04</v>
      </c>
      <c r="F619" s="49">
        <v>0</v>
      </c>
      <c r="G619" s="9">
        <v>0</v>
      </c>
      <c r="H619" s="9"/>
      <c r="I619" s="48"/>
      <c r="J619" s="78" cm="1">
        <f t="array" ref="J619">IF(H619&lt;12.5, H619/2,
IF(H619&lt;29, 6.25,
IF(H619&lt;50, 6.5,
IF(H619&lt;79, 6.75,
VALUE(SUBSTITUTE(
INDEX(RESUMO!$J$2:$J$100, MATCH(1,
(D619&gt;=RESUMO!$H$2:$H$100)*(D619&lt;=RESUMO!$I$2:$I$100)*(H619&gt;=RESUMO!$K$2:$K$100)*(H619&lt;=RESUMO!$L$2:$L$100),
0)), "R$ ", ""))
))))</f>
        <v>0</v>
      </c>
      <c r="K619" s="9"/>
      <c r="L619" s="10" t="e">
        <f t="shared" si="105"/>
        <v>#DIV/0!</v>
      </c>
      <c r="M619" s="7"/>
      <c r="N619" s="48"/>
      <c r="O619" s="78" cm="1">
        <f t="array" ref="O619">IF(M619&lt;12.5, 0,
IF(M619&lt;29, 6.25,
IF(M619&lt;50, 6.5,
IF(M619&lt;79, 6.75,
VALUE(SUBSTITUTE(
INDEX(RESUMO!$J$2:$J$100, MATCH(1,
(D619&gt;=RESUMO!$H$2:$H$100)*(D619&lt;=RESUMO!$I$2:$I$100)*(M619&gt;=RESUMO!$K$2:$K$100)*(M619&lt;=RESUMO!$L$2:$L$100),
0)), "R$ ", ""))
))))</f>
        <v>0</v>
      </c>
      <c r="P619" s="9"/>
      <c r="Q619" s="10" t="e">
        <f t="shared" si="106"/>
        <v>#DIV/0!</v>
      </c>
      <c r="R619" s="5">
        <f t="shared" si="107"/>
        <v>-4.2544000000000004</v>
      </c>
      <c r="S619" s="5">
        <f t="shared" si="108"/>
        <v>-110.6144</v>
      </c>
      <c r="T619" s="5">
        <f t="shared" si="109"/>
        <v>-4.2544000000000004</v>
      </c>
      <c r="U619" s="5">
        <f t="shared" si="110"/>
        <v>-110.6144</v>
      </c>
    </row>
    <row r="620" spans="1:21" x14ac:dyDescent="0.25">
      <c r="A620" s="11"/>
      <c r="B620" s="6" t="s">
        <v>678</v>
      </c>
      <c r="C620" s="9">
        <v>106.36</v>
      </c>
      <c r="D620" s="6"/>
      <c r="E620" s="8">
        <v>0.04</v>
      </c>
      <c r="F620" s="49">
        <v>0</v>
      </c>
      <c r="G620" s="9">
        <v>0</v>
      </c>
      <c r="H620" s="9"/>
      <c r="I620" s="48"/>
      <c r="J620" s="78" cm="1">
        <f t="array" ref="J620">IF(H620&lt;12.5, H620/2,
IF(H620&lt;29, 6.25,
IF(H620&lt;50, 6.5,
IF(H620&lt;79, 6.75,
VALUE(SUBSTITUTE(
INDEX(RESUMO!$J$2:$J$100, MATCH(1,
(D620&gt;=RESUMO!$H$2:$H$100)*(D620&lt;=RESUMO!$I$2:$I$100)*(H620&gt;=RESUMO!$K$2:$K$100)*(H620&lt;=RESUMO!$L$2:$L$100),
0)), "R$ ", ""))
))))</f>
        <v>0</v>
      </c>
      <c r="K620" s="9"/>
      <c r="L620" s="10" t="e">
        <f t="shared" ref="L620:L739" si="135">S620/H620</f>
        <v>#DIV/0!</v>
      </c>
      <c r="M620" s="7"/>
      <c r="N620" s="48"/>
      <c r="O620" s="78" cm="1">
        <f t="array" ref="O620">IF(M620&lt;12.5, 0,
IF(M620&lt;29, 6.25,
IF(M620&lt;50, 6.5,
IF(M620&lt;79, 6.75,
VALUE(SUBSTITUTE(
INDEX(RESUMO!$J$2:$J$100, MATCH(1,
(D620&gt;=RESUMO!$H$2:$H$100)*(D620&lt;=RESUMO!$I$2:$I$100)*(M620&gt;=RESUMO!$K$2:$K$100)*(M620&lt;=RESUMO!$L$2:$L$100),
0)), "R$ ", ""))
))))</f>
        <v>0</v>
      </c>
      <c r="P620" s="9"/>
      <c r="Q620" s="10" t="e">
        <f t="shared" ref="Q620:Q739" si="136">U620/M620</f>
        <v>#DIV/0!</v>
      </c>
      <c r="R620" s="5">
        <f t="shared" ref="R620:R739" si="137">(H620-(H620*I620)-J620-(C620*E620)+K620)</f>
        <v>-4.2544000000000004</v>
      </c>
      <c r="S620" s="5">
        <f t="shared" ref="S620:S739" si="138">R620-(C620-F620)</f>
        <v>-110.6144</v>
      </c>
      <c r="T620" s="5">
        <f t="shared" ref="T620:T739" si="139">(M620-(M620*N620)-O620-(C620*E620)+P620)</f>
        <v>-4.2544000000000004</v>
      </c>
      <c r="U620" s="5">
        <f t="shared" ref="U620:U739" si="140">T620-(C620-F620)</f>
        <v>-110.6144</v>
      </c>
    </row>
    <row r="621" spans="1:21" x14ac:dyDescent="0.25">
      <c r="A621" s="11"/>
      <c r="B621" s="6" t="s">
        <v>679</v>
      </c>
      <c r="C621" s="9">
        <v>104.57</v>
      </c>
      <c r="D621" s="6"/>
      <c r="E621" s="8">
        <v>0.04</v>
      </c>
      <c r="F621" s="49">
        <v>0</v>
      </c>
      <c r="G621" s="9">
        <v>0</v>
      </c>
      <c r="H621" s="9"/>
      <c r="I621" s="48"/>
      <c r="J621" s="78" cm="1">
        <f t="array" ref="J621">IF(H621&lt;12.5, H621/2,
IF(H621&lt;29, 6.25,
IF(H621&lt;50, 6.5,
IF(H621&lt;79, 6.75,
VALUE(SUBSTITUTE(
INDEX(RESUMO!$J$2:$J$100, MATCH(1,
(D621&gt;=RESUMO!$H$2:$H$100)*(D621&lt;=RESUMO!$I$2:$I$100)*(H621&gt;=RESUMO!$K$2:$K$100)*(H621&lt;=RESUMO!$L$2:$L$100),
0)), "R$ ", ""))
))))</f>
        <v>0</v>
      </c>
      <c r="K621" s="9"/>
      <c r="L621" s="10" t="e">
        <f t="shared" si="135"/>
        <v>#DIV/0!</v>
      </c>
      <c r="M621" s="7"/>
      <c r="N621" s="48"/>
      <c r="O621" s="78" cm="1">
        <f t="array" ref="O621">IF(M621&lt;12.5, 0,
IF(M621&lt;29, 6.25,
IF(M621&lt;50, 6.5,
IF(M621&lt;79, 6.75,
VALUE(SUBSTITUTE(
INDEX(RESUMO!$J$2:$J$100, MATCH(1,
(D621&gt;=RESUMO!$H$2:$H$100)*(D621&lt;=RESUMO!$I$2:$I$100)*(M621&gt;=RESUMO!$K$2:$K$100)*(M621&lt;=RESUMO!$L$2:$L$100),
0)), "R$ ", ""))
))))</f>
        <v>0</v>
      </c>
      <c r="P621" s="9"/>
      <c r="Q621" s="10" t="e">
        <f t="shared" si="136"/>
        <v>#DIV/0!</v>
      </c>
      <c r="R621" s="5">
        <f t="shared" si="137"/>
        <v>-4.1827999999999994</v>
      </c>
      <c r="S621" s="5">
        <f t="shared" si="138"/>
        <v>-108.75279999999999</v>
      </c>
      <c r="T621" s="5">
        <f t="shared" si="139"/>
        <v>-4.1827999999999994</v>
      </c>
      <c r="U621" s="5">
        <f t="shared" si="140"/>
        <v>-108.75279999999999</v>
      </c>
    </row>
    <row r="622" spans="1:21" x14ac:dyDescent="0.25">
      <c r="A622" s="11"/>
      <c r="B622" s="6" t="s">
        <v>680</v>
      </c>
      <c r="C622" s="9">
        <v>104.57</v>
      </c>
      <c r="D622" s="6"/>
      <c r="E622" s="8">
        <v>0.04</v>
      </c>
      <c r="F622" s="49">
        <v>0</v>
      </c>
      <c r="G622" s="9">
        <v>0</v>
      </c>
      <c r="H622" s="9"/>
      <c r="I622" s="48"/>
      <c r="J622" s="78" cm="1">
        <f t="array" ref="J622">IF(H622&lt;12.5, H622/2,
IF(H622&lt;29, 6.25,
IF(H622&lt;50, 6.5,
IF(H622&lt;79, 6.75,
VALUE(SUBSTITUTE(
INDEX(RESUMO!$J$2:$J$100, MATCH(1,
(D622&gt;=RESUMO!$H$2:$H$100)*(D622&lt;=RESUMO!$I$2:$I$100)*(H622&gt;=RESUMO!$K$2:$K$100)*(H622&lt;=RESUMO!$L$2:$L$100),
0)), "R$ ", ""))
))))</f>
        <v>0</v>
      </c>
      <c r="K622" s="9"/>
      <c r="L622" s="10" t="e">
        <f t="shared" si="135"/>
        <v>#DIV/0!</v>
      </c>
      <c r="M622" s="7"/>
      <c r="N622" s="48"/>
      <c r="O622" s="78" cm="1">
        <f t="array" ref="O622">IF(M622&lt;12.5, 0,
IF(M622&lt;29, 6.25,
IF(M622&lt;50, 6.5,
IF(M622&lt;79, 6.75,
VALUE(SUBSTITUTE(
INDEX(RESUMO!$J$2:$J$100, MATCH(1,
(D622&gt;=RESUMO!$H$2:$H$100)*(D622&lt;=RESUMO!$I$2:$I$100)*(M622&gt;=RESUMO!$K$2:$K$100)*(M622&lt;=RESUMO!$L$2:$L$100),
0)), "R$ ", ""))
))))</f>
        <v>0</v>
      </c>
      <c r="P622" s="9"/>
      <c r="Q622" s="10" t="e">
        <f t="shared" si="136"/>
        <v>#DIV/0!</v>
      </c>
      <c r="R622" s="5">
        <f t="shared" si="137"/>
        <v>-4.1827999999999994</v>
      </c>
      <c r="S622" s="5">
        <f t="shared" si="138"/>
        <v>-108.75279999999999</v>
      </c>
      <c r="T622" s="5">
        <f t="shared" si="139"/>
        <v>-4.1827999999999994</v>
      </c>
      <c r="U622" s="5">
        <f t="shared" si="140"/>
        <v>-108.75279999999999</v>
      </c>
    </row>
    <row r="623" spans="1:21" x14ac:dyDescent="0.25">
      <c r="A623" s="11"/>
      <c r="B623" s="6" t="s">
        <v>681</v>
      </c>
      <c r="C623" s="9">
        <v>108.82</v>
      </c>
      <c r="D623" s="6"/>
      <c r="E623" s="8">
        <v>0.04</v>
      </c>
      <c r="F623" s="49">
        <v>0</v>
      </c>
      <c r="G623" s="9">
        <v>0</v>
      </c>
      <c r="H623" s="9"/>
      <c r="I623" s="48"/>
      <c r="J623" s="78" cm="1">
        <f t="array" ref="J623">IF(H623&lt;12.5, H623/2,
IF(H623&lt;29, 6.25,
IF(H623&lt;50, 6.5,
IF(H623&lt;79, 6.75,
VALUE(SUBSTITUTE(
INDEX(RESUMO!$J$2:$J$100, MATCH(1,
(D623&gt;=RESUMO!$H$2:$H$100)*(D623&lt;=RESUMO!$I$2:$I$100)*(H623&gt;=RESUMO!$K$2:$K$100)*(H623&lt;=RESUMO!$L$2:$L$100),
0)), "R$ ", ""))
))))</f>
        <v>0</v>
      </c>
      <c r="K623" s="9"/>
      <c r="L623" s="10" t="e">
        <f t="shared" si="135"/>
        <v>#DIV/0!</v>
      </c>
      <c r="M623" s="7"/>
      <c r="N623" s="48"/>
      <c r="O623" s="78" cm="1">
        <f t="array" ref="O623">IF(M623&lt;12.5, 0,
IF(M623&lt;29, 6.25,
IF(M623&lt;50, 6.5,
IF(M623&lt;79, 6.75,
VALUE(SUBSTITUTE(
INDEX(RESUMO!$J$2:$J$100, MATCH(1,
(D623&gt;=RESUMO!$H$2:$H$100)*(D623&lt;=RESUMO!$I$2:$I$100)*(M623&gt;=RESUMO!$K$2:$K$100)*(M623&lt;=RESUMO!$L$2:$L$100),
0)), "R$ ", ""))
))))</f>
        <v>0</v>
      </c>
      <c r="P623" s="9"/>
      <c r="Q623" s="10" t="e">
        <f t="shared" si="136"/>
        <v>#DIV/0!</v>
      </c>
      <c r="R623" s="5">
        <f t="shared" si="137"/>
        <v>-4.3528000000000002</v>
      </c>
      <c r="S623" s="5">
        <f t="shared" si="138"/>
        <v>-113.1728</v>
      </c>
      <c r="T623" s="5">
        <f t="shared" si="139"/>
        <v>-4.3528000000000002</v>
      </c>
      <c r="U623" s="5">
        <f t="shared" si="140"/>
        <v>-113.1728</v>
      </c>
    </row>
    <row r="624" spans="1:21" x14ac:dyDescent="0.25">
      <c r="A624" s="11"/>
      <c r="B624" s="6" t="s">
        <v>682</v>
      </c>
      <c r="C624" s="9">
        <v>150.38999999999999</v>
      </c>
      <c r="D624" s="6"/>
      <c r="E624" s="8">
        <v>0.04</v>
      </c>
      <c r="F624" s="49">
        <v>0</v>
      </c>
      <c r="G624" s="9">
        <v>0</v>
      </c>
      <c r="H624" s="9"/>
      <c r="I624" s="48"/>
      <c r="J624" s="78" cm="1">
        <f t="array" ref="J624">IF(H624&lt;12.5, H624/2,
IF(H624&lt;29, 6.25,
IF(H624&lt;50, 6.5,
IF(H624&lt;79, 6.75,
VALUE(SUBSTITUTE(
INDEX(RESUMO!$J$2:$J$100, MATCH(1,
(D624&gt;=RESUMO!$H$2:$H$100)*(D624&lt;=RESUMO!$I$2:$I$100)*(H624&gt;=RESUMO!$K$2:$K$100)*(H624&lt;=RESUMO!$L$2:$L$100),
0)), "R$ ", ""))
))))</f>
        <v>0</v>
      </c>
      <c r="K624" s="9"/>
      <c r="L624" s="10" t="e">
        <f t="shared" si="135"/>
        <v>#DIV/0!</v>
      </c>
      <c r="M624" s="7"/>
      <c r="N624" s="48"/>
      <c r="O624" s="78" cm="1">
        <f t="array" ref="O624">IF(M624&lt;12.5, 0,
IF(M624&lt;29, 6.25,
IF(M624&lt;50, 6.5,
IF(M624&lt;79, 6.75,
VALUE(SUBSTITUTE(
INDEX(RESUMO!$J$2:$J$100, MATCH(1,
(D624&gt;=RESUMO!$H$2:$H$100)*(D624&lt;=RESUMO!$I$2:$I$100)*(M624&gt;=RESUMO!$K$2:$K$100)*(M624&lt;=RESUMO!$L$2:$L$100),
0)), "R$ ", ""))
))))</f>
        <v>0</v>
      </c>
      <c r="P624" s="9"/>
      <c r="Q624" s="10" t="e">
        <f t="shared" si="136"/>
        <v>#DIV/0!</v>
      </c>
      <c r="R624" s="5">
        <f t="shared" si="137"/>
        <v>-6.0155999999999992</v>
      </c>
      <c r="S624" s="5">
        <f t="shared" si="138"/>
        <v>-156.40559999999999</v>
      </c>
      <c r="T624" s="5">
        <f t="shared" si="139"/>
        <v>-6.0155999999999992</v>
      </c>
      <c r="U624" s="5">
        <f t="shared" si="140"/>
        <v>-156.40559999999999</v>
      </c>
    </row>
    <row r="625" spans="1:21" x14ac:dyDescent="0.25">
      <c r="A625" s="11"/>
      <c r="B625" s="6" t="s">
        <v>683</v>
      </c>
      <c r="C625" s="9">
        <v>320.70999999999998</v>
      </c>
      <c r="D625" s="6"/>
      <c r="E625" s="8">
        <v>0.04</v>
      </c>
      <c r="F625" s="49">
        <v>0</v>
      </c>
      <c r="G625" s="9">
        <v>0</v>
      </c>
      <c r="H625" s="9"/>
      <c r="I625" s="48"/>
      <c r="J625" s="78" cm="1">
        <f t="array" ref="J625">IF(H625&lt;12.5, H625/2,
IF(H625&lt;29, 6.25,
IF(H625&lt;50, 6.5,
IF(H625&lt;79, 6.75,
VALUE(SUBSTITUTE(
INDEX(RESUMO!$J$2:$J$100, MATCH(1,
(D625&gt;=RESUMO!$H$2:$H$100)*(D625&lt;=RESUMO!$I$2:$I$100)*(H625&gt;=RESUMO!$K$2:$K$100)*(H625&lt;=RESUMO!$L$2:$L$100),
0)), "R$ ", ""))
))))</f>
        <v>0</v>
      </c>
      <c r="K625" s="9"/>
      <c r="L625" s="10" t="e">
        <f t="shared" si="135"/>
        <v>#DIV/0!</v>
      </c>
      <c r="M625" s="7"/>
      <c r="N625" s="48"/>
      <c r="O625" s="78" cm="1">
        <f t="array" ref="O625">IF(M625&lt;12.5, 0,
IF(M625&lt;29, 6.25,
IF(M625&lt;50, 6.5,
IF(M625&lt;79, 6.75,
VALUE(SUBSTITUTE(
INDEX(RESUMO!$J$2:$J$100, MATCH(1,
(D625&gt;=RESUMO!$H$2:$H$100)*(D625&lt;=RESUMO!$I$2:$I$100)*(M625&gt;=RESUMO!$K$2:$K$100)*(M625&lt;=RESUMO!$L$2:$L$100),
0)), "R$ ", ""))
))))</f>
        <v>0</v>
      </c>
      <c r="P625" s="9"/>
      <c r="Q625" s="10" t="e">
        <f t="shared" si="136"/>
        <v>#DIV/0!</v>
      </c>
      <c r="R625" s="5">
        <f t="shared" si="137"/>
        <v>-12.8284</v>
      </c>
      <c r="S625" s="5">
        <f t="shared" si="138"/>
        <v>-333.53839999999997</v>
      </c>
      <c r="T625" s="5">
        <f t="shared" si="139"/>
        <v>-12.8284</v>
      </c>
      <c r="U625" s="5">
        <f t="shared" si="140"/>
        <v>-333.53839999999997</v>
      </c>
    </row>
    <row r="626" spans="1:21" x14ac:dyDescent="0.25">
      <c r="A626" s="11"/>
      <c r="B626" s="6" t="s">
        <v>684</v>
      </c>
      <c r="C626" s="9">
        <v>320.70999999999998</v>
      </c>
      <c r="D626" s="6"/>
      <c r="E626" s="8">
        <v>0.04</v>
      </c>
      <c r="F626" s="49">
        <v>0</v>
      </c>
      <c r="G626" s="9">
        <v>0</v>
      </c>
      <c r="H626" s="9"/>
      <c r="I626" s="48"/>
      <c r="J626" s="78" cm="1">
        <f t="array" ref="J626">IF(H626&lt;12.5, H626/2,
IF(H626&lt;29, 6.25,
IF(H626&lt;50, 6.5,
IF(H626&lt;79, 6.75,
VALUE(SUBSTITUTE(
INDEX(RESUMO!$J$2:$J$100, MATCH(1,
(D626&gt;=RESUMO!$H$2:$H$100)*(D626&lt;=RESUMO!$I$2:$I$100)*(H626&gt;=RESUMO!$K$2:$K$100)*(H626&lt;=RESUMO!$L$2:$L$100),
0)), "R$ ", ""))
))))</f>
        <v>0</v>
      </c>
      <c r="K626" s="9"/>
      <c r="L626" s="10" t="e">
        <f t="shared" si="135"/>
        <v>#DIV/0!</v>
      </c>
      <c r="M626" s="7"/>
      <c r="N626" s="48"/>
      <c r="O626" s="78" cm="1">
        <f t="array" ref="O626">IF(M626&lt;12.5, 0,
IF(M626&lt;29, 6.25,
IF(M626&lt;50, 6.5,
IF(M626&lt;79, 6.75,
VALUE(SUBSTITUTE(
INDEX(RESUMO!$J$2:$J$100, MATCH(1,
(D626&gt;=RESUMO!$H$2:$H$100)*(D626&lt;=RESUMO!$I$2:$I$100)*(M626&gt;=RESUMO!$K$2:$K$100)*(M626&lt;=RESUMO!$L$2:$L$100),
0)), "R$ ", ""))
))))</f>
        <v>0</v>
      </c>
      <c r="P626" s="9"/>
      <c r="Q626" s="10" t="e">
        <f t="shared" si="136"/>
        <v>#DIV/0!</v>
      </c>
      <c r="R626" s="5">
        <f t="shared" si="137"/>
        <v>-12.8284</v>
      </c>
      <c r="S626" s="5">
        <f t="shared" si="138"/>
        <v>-333.53839999999997</v>
      </c>
      <c r="T626" s="5">
        <f t="shared" si="139"/>
        <v>-12.8284</v>
      </c>
      <c r="U626" s="5">
        <f t="shared" si="140"/>
        <v>-333.53839999999997</v>
      </c>
    </row>
    <row r="627" spans="1:21" x14ac:dyDescent="0.25">
      <c r="A627" s="11"/>
      <c r="B627" s="6" t="s">
        <v>685</v>
      </c>
      <c r="C627" s="9">
        <v>243.32</v>
      </c>
      <c r="D627" s="6"/>
      <c r="E627" s="8">
        <v>0.04</v>
      </c>
      <c r="F627" s="49">
        <v>0</v>
      </c>
      <c r="G627" s="9">
        <v>0</v>
      </c>
      <c r="H627" s="9"/>
      <c r="I627" s="48"/>
      <c r="J627" s="78" cm="1">
        <f t="array" ref="J627">IF(H627&lt;12.5, H627/2,
IF(H627&lt;29, 6.25,
IF(H627&lt;50, 6.5,
IF(H627&lt;79, 6.75,
VALUE(SUBSTITUTE(
INDEX(RESUMO!$J$2:$J$100, MATCH(1,
(D627&gt;=RESUMO!$H$2:$H$100)*(D627&lt;=RESUMO!$I$2:$I$100)*(H627&gt;=RESUMO!$K$2:$K$100)*(H627&lt;=RESUMO!$L$2:$L$100),
0)), "R$ ", ""))
))))</f>
        <v>0</v>
      </c>
      <c r="K627" s="9"/>
      <c r="L627" s="10" t="e">
        <f t="shared" si="135"/>
        <v>#DIV/0!</v>
      </c>
      <c r="M627" s="7"/>
      <c r="N627" s="48"/>
      <c r="O627" s="78" cm="1">
        <f t="array" ref="O627">IF(M627&lt;12.5, 0,
IF(M627&lt;29, 6.25,
IF(M627&lt;50, 6.5,
IF(M627&lt;79, 6.75,
VALUE(SUBSTITUTE(
INDEX(RESUMO!$J$2:$J$100, MATCH(1,
(D627&gt;=RESUMO!$H$2:$H$100)*(D627&lt;=RESUMO!$I$2:$I$100)*(M627&gt;=RESUMO!$K$2:$K$100)*(M627&lt;=RESUMO!$L$2:$L$100),
0)), "R$ ", ""))
))))</f>
        <v>0</v>
      </c>
      <c r="P627" s="9"/>
      <c r="Q627" s="10" t="e">
        <f t="shared" si="136"/>
        <v>#DIV/0!</v>
      </c>
      <c r="R627" s="5">
        <f t="shared" si="137"/>
        <v>-9.7327999999999992</v>
      </c>
      <c r="S627" s="5">
        <f t="shared" si="138"/>
        <v>-253.05279999999999</v>
      </c>
      <c r="T627" s="5">
        <f t="shared" si="139"/>
        <v>-9.7327999999999992</v>
      </c>
      <c r="U627" s="5">
        <f t="shared" si="140"/>
        <v>-253.05279999999999</v>
      </c>
    </row>
    <row r="628" spans="1:21" x14ac:dyDescent="0.25">
      <c r="A628" s="11"/>
      <c r="B628" s="6" t="s">
        <v>686</v>
      </c>
      <c r="C628" s="9">
        <v>243.32</v>
      </c>
      <c r="D628" s="6"/>
      <c r="E628" s="8">
        <v>0.04</v>
      </c>
      <c r="F628" s="49">
        <v>0</v>
      </c>
      <c r="G628" s="9">
        <v>0</v>
      </c>
      <c r="H628" s="9"/>
      <c r="I628" s="48"/>
      <c r="J628" s="78" cm="1">
        <f t="array" ref="J628">IF(H628&lt;12.5, H628/2,
IF(H628&lt;29, 6.25,
IF(H628&lt;50, 6.5,
IF(H628&lt;79, 6.75,
VALUE(SUBSTITUTE(
INDEX(RESUMO!$J$2:$J$100, MATCH(1,
(D628&gt;=RESUMO!$H$2:$H$100)*(D628&lt;=RESUMO!$I$2:$I$100)*(H628&gt;=RESUMO!$K$2:$K$100)*(H628&lt;=RESUMO!$L$2:$L$100),
0)), "R$ ", ""))
))))</f>
        <v>0</v>
      </c>
      <c r="K628" s="9"/>
      <c r="L628" s="10" t="e">
        <f t="shared" si="135"/>
        <v>#DIV/0!</v>
      </c>
      <c r="M628" s="7"/>
      <c r="N628" s="48"/>
      <c r="O628" s="78" cm="1">
        <f t="array" ref="O628">IF(M628&lt;12.5, 0,
IF(M628&lt;29, 6.25,
IF(M628&lt;50, 6.5,
IF(M628&lt;79, 6.75,
VALUE(SUBSTITUTE(
INDEX(RESUMO!$J$2:$J$100, MATCH(1,
(D628&gt;=RESUMO!$H$2:$H$100)*(D628&lt;=RESUMO!$I$2:$I$100)*(M628&gt;=RESUMO!$K$2:$K$100)*(M628&lt;=RESUMO!$L$2:$L$100),
0)), "R$ ", ""))
))))</f>
        <v>0</v>
      </c>
      <c r="P628" s="9"/>
      <c r="Q628" s="10" t="e">
        <f t="shared" si="136"/>
        <v>#DIV/0!</v>
      </c>
      <c r="R628" s="5">
        <f t="shared" si="137"/>
        <v>-9.7327999999999992</v>
      </c>
      <c r="S628" s="5">
        <f t="shared" si="138"/>
        <v>-253.05279999999999</v>
      </c>
      <c r="T628" s="5">
        <f t="shared" si="139"/>
        <v>-9.7327999999999992</v>
      </c>
      <c r="U628" s="5">
        <f t="shared" si="140"/>
        <v>-253.05279999999999</v>
      </c>
    </row>
    <row r="629" spans="1:21" x14ac:dyDescent="0.25">
      <c r="A629" s="11"/>
      <c r="B629" s="6" t="s">
        <v>687</v>
      </c>
      <c r="C629" s="9">
        <v>279.64999999999998</v>
      </c>
      <c r="D629" s="6"/>
      <c r="E629" s="8">
        <v>0.04</v>
      </c>
      <c r="F629" s="49">
        <v>0</v>
      </c>
      <c r="G629" s="9">
        <v>0</v>
      </c>
      <c r="H629" s="9"/>
      <c r="I629" s="48"/>
      <c r="J629" s="78" cm="1">
        <f t="array" ref="J629">IF(H629&lt;12.5, H629/2,
IF(H629&lt;29, 6.25,
IF(H629&lt;50, 6.5,
IF(H629&lt;79, 6.75,
VALUE(SUBSTITUTE(
INDEX(RESUMO!$J$2:$J$100, MATCH(1,
(D629&gt;=RESUMO!$H$2:$H$100)*(D629&lt;=RESUMO!$I$2:$I$100)*(H629&gt;=RESUMO!$K$2:$K$100)*(H629&lt;=RESUMO!$L$2:$L$100),
0)), "R$ ", ""))
))))</f>
        <v>0</v>
      </c>
      <c r="K629" s="9"/>
      <c r="L629" s="10" t="e">
        <f t="shared" si="135"/>
        <v>#DIV/0!</v>
      </c>
      <c r="M629" s="7"/>
      <c r="N629" s="48"/>
      <c r="O629" s="78" cm="1">
        <f t="array" ref="O629">IF(M629&lt;12.5, 0,
IF(M629&lt;29, 6.25,
IF(M629&lt;50, 6.5,
IF(M629&lt;79, 6.75,
VALUE(SUBSTITUTE(
INDEX(RESUMO!$J$2:$J$100, MATCH(1,
(D629&gt;=RESUMO!$H$2:$H$100)*(D629&lt;=RESUMO!$I$2:$I$100)*(M629&gt;=RESUMO!$K$2:$K$100)*(M629&lt;=RESUMO!$L$2:$L$100),
0)), "R$ ", ""))
))))</f>
        <v>0</v>
      </c>
      <c r="P629" s="9"/>
      <c r="Q629" s="10" t="e">
        <f t="shared" si="136"/>
        <v>#DIV/0!</v>
      </c>
      <c r="R629" s="5">
        <f t="shared" si="137"/>
        <v>-11.186</v>
      </c>
      <c r="S629" s="5">
        <f t="shared" si="138"/>
        <v>-290.83599999999996</v>
      </c>
      <c r="T629" s="5">
        <f t="shared" si="139"/>
        <v>-11.186</v>
      </c>
      <c r="U629" s="5">
        <f t="shared" si="140"/>
        <v>-290.83599999999996</v>
      </c>
    </row>
    <row r="630" spans="1:21" x14ac:dyDescent="0.25">
      <c r="A630" s="11"/>
      <c r="B630" s="6" t="s">
        <v>688</v>
      </c>
      <c r="C630" s="9">
        <v>160.35</v>
      </c>
      <c r="D630" s="6"/>
      <c r="E630" s="8">
        <v>0.04</v>
      </c>
      <c r="F630" s="49">
        <v>0</v>
      </c>
      <c r="G630" s="9">
        <v>0</v>
      </c>
      <c r="H630" s="9"/>
      <c r="I630" s="48"/>
      <c r="J630" s="78" cm="1">
        <f t="array" ref="J630">IF(H630&lt;12.5, H630/2,
IF(H630&lt;29, 6.25,
IF(H630&lt;50, 6.5,
IF(H630&lt;79, 6.75,
VALUE(SUBSTITUTE(
INDEX(RESUMO!$J$2:$J$100, MATCH(1,
(D630&gt;=RESUMO!$H$2:$H$100)*(D630&lt;=RESUMO!$I$2:$I$100)*(H630&gt;=RESUMO!$K$2:$K$100)*(H630&lt;=RESUMO!$L$2:$L$100),
0)), "R$ ", ""))
))))</f>
        <v>0</v>
      </c>
      <c r="K630" s="9"/>
      <c r="L630" s="10" t="e">
        <f t="shared" si="135"/>
        <v>#DIV/0!</v>
      </c>
      <c r="M630" s="7"/>
      <c r="N630" s="48"/>
      <c r="O630" s="78" cm="1">
        <f t="array" ref="O630">IF(M630&lt;12.5, 0,
IF(M630&lt;29, 6.25,
IF(M630&lt;50, 6.5,
IF(M630&lt;79, 6.75,
VALUE(SUBSTITUTE(
INDEX(RESUMO!$J$2:$J$100, MATCH(1,
(D630&gt;=RESUMO!$H$2:$H$100)*(D630&lt;=RESUMO!$I$2:$I$100)*(M630&gt;=RESUMO!$K$2:$K$100)*(M630&lt;=RESUMO!$L$2:$L$100),
0)), "R$ ", ""))
))))</f>
        <v>0</v>
      </c>
      <c r="P630" s="9"/>
      <c r="Q630" s="10" t="e">
        <f t="shared" si="136"/>
        <v>#DIV/0!</v>
      </c>
      <c r="R630" s="5">
        <f t="shared" si="137"/>
        <v>-6.4139999999999997</v>
      </c>
      <c r="S630" s="5">
        <f t="shared" si="138"/>
        <v>-166.76399999999998</v>
      </c>
      <c r="T630" s="5">
        <f t="shared" si="139"/>
        <v>-6.4139999999999997</v>
      </c>
      <c r="U630" s="5">
        <f t="shared" si="140"/>
        <v>-166.76399999999998</v>
      </c>
    </row>
    <row r="631" spans="1:21" x14ac:dyDescent="0.25">
      <c r="A631" s="11"/>
      <c r="B631" s="6" t="s">
        <v>689</v>
      </c>
      <c r="C631" s="9">
        <v>160.35</v>
      </c>
      <c r="D631" s="6"/>
      <c r="E631" s="8">
        <v>0.04</v>
      </c>
      <c r="F631" s="49">
        <v>0</v>
      </c>
      <c r="G631" s="9">
        <v>0</v>
      </c>
      <c r="H631" s="9"/>
      <c r="I631" s="48"/>
      <c r="J631" s="78" cm="1">
        <f t="array" ref="J631">IF(H631&lt;12.5, H631/2,
IF(H631&lt;29, 6.25,
IF(H631&lt;50, 6.5,
IF(H631&lt;79, 6.75,
VALUE(SUBSTITUTE(
INDEX(RESUMO!$J$2:$J$100, MATCH(1,
(D631&gt;=RESUMO!$H$2:$H$100)*(D631&lt;=RESUMO!$I$2:$I$100)*(H631&gt;=RESUMO!$K$2:$K$100)*(H631&lt;=RESUMO!$L$2:$L$100),
0)), "R$ ", ""))
))))</f>
        <v>0</v>
      </c>
      <c r="K631" s="9"/>
      <c r="L631" s="10" t="e">
        <f t="shared" si="135"/>
        <v>#DIV/0!</v>
      </c>
      <c r="M631" s="7"/>
      <c r="N631" s="48"/>
      <c r="O631" s="78" cm="1">
        <f t="array" ref="O631">IF(M631&lt;12.5, 0,
IF(M631&lt;29, 6.25,
IF(M631&lt;50, 6.5,
IF(M631&lt;79, 6.75,
VALUE(SUBSTITUTE(
INDEX(RESUMO!$J$2:$J$100, MATCH(1,
(D631&gt;=RESUMO!$H$2:$H$100)*(D631&lt;=RESUMO!$I$2:$I$100)*(M631&gt;=RESUMO!$K$2:$K$100)*(M631&lt;=RESUMO!$L$2:$L$100),
0)), "R$ ", ""))
))))</f>
        <v>0</v>
      </c>
      <c r="P631" s="9"/>
      <c r="Q631" s="10" t="e">
        <f t="shared" si="136"/>
        <v>#DIV/0!</v>
      </c>
      <c r="R631" s="5">
        <f t="shared" si="137"/>
        <v>-6.4139999999999997</v>
      </c>
      <c r="S631" s="5">
        <f t="shared" si="138"/>
        <v>-166.76399999999998</v>
      </c>
      <c r="T631" s="5">
        <f t="shared" si="139"/>
        <v>-6.4139999999999997</v>
      </c>
      <c r="U631" s="5">
        <f t="shared" si="140"/>
        <v>-166.76399999999998</v>
      </c>
    </row>
    <row r="632" spans="1:21" x14ac:dyDescent="0.25">
      <c r="A632" s="11"/>
      <c r="B632" s="6" t="s">
        <v>690</v>
      </c>
      <c r="C632" s="9">
        <v>101.55</v>
      </c>
      <c r="D632" s="6"/>
      <c r="E632" s="8">
        <v>0.04</v>
      </c>
      <c r="F632" s="49">
        <v>0</v>
      </c>
      <c r="G632" s="9">
        <v>0</v>
      </c>
      <c r="H632" s="9"/>
      <c r="I632" s="48"/>
      <c r="J632" s="78" cm="1">
        <f t="array" ref="J632">IF(H632&lt;12.5, H632/2,
IF(H632&lt;29, 6.25,
IF(H632&lt;50, 6.5,
IF(H632&lt;79, 6.75,
VALUE(SUBSTITUTE(
INDEX(RESUMO!$J$2:$J$100, MATCH(1,
(D632&gt;=RESUMO!$H$2:$H$100)*(D632&lt;=RESUMO!$I$2:$I$100)*(H632&gt;=RESUMO!$K$2:$K$100)*(H632&lt;=RESUMO!$L$2:$L$100),
0)), "R$ ", ""))
))))</f>
        <v>0</v>
      </c>
      <c r="K632" s="9"/>
      <c r="L632" s="10" t="e">
        <f t="shared" si="135"/>
        <v>#DIV/0!</v>
      </c>
      <c r="M632" s="7"/>
      <c r="N632" s="48"/>
      <c r="O632" s="78" cm="1">
        <f t="array" ref="O632">IF(M632&lt;12.5, 0,
IF(M632&lt;29, 6.25,
IF(M632&lt;50, 6.5,
IF(M632&lt;79, 6.75,
VALUE(SUBSTITUTE(
INDEX(RESUMO!$J$2:$J$100, MATCH(1,
(D632&gt;=RESUMO!$H$2:$H$100)*(D632&lt;=RESUMO!$I$2:$I$100)*(M632&gt;=RESUMO!$K$2:$K$100)*(M632&lt;=RESUMO!$L$2:$L$100),
0)), "R$ ", ""))
))))</f>
        <v>0</v>
      </c>
      <c r="P632" s="9"/>
      <c r="Q632" s="10" t="e">
        <f t="shared" si="136"/>
        <v>#DIV/0!</v>
      </c>
      <c r="R632" s="5">
        <f t="shared" si="137"/>
        <v>-4.0620000000000003</v>
      </c>
      <c r="S632" s="5">
        <f t="shared" si="138"/>
        <v>-105.61199999999999</v>
      </c>
      <c r="T632" s="5">
        <f t="shared" si="139"/>
        <v>-4.0620000000000003</v>
      </c>
      <c r="U632" s="5">
        <f t="shared" si="140"/>
        <v>-105.61199999999999</v>
      </c>
    </row>
    <row r="633" spans="1:21" x14ac:dyDescent="0.25">
      <c r="A633" s="11"/>
      <c r="B633" s="6" t="s">
        <v>691</v>
      </c>
      <c r="C633" s="9">
        <v>127.82</v>
      </c>
      <c r="D633" s="6"/>
      <c r="E633" s="8">
        <v>0.04</v>
      </c>
      <c r="F633" s="49">
        <v>0</v>
      </c>
      <c r="G633" s="9">
        <v>0</v>
      </c>
      <c r="H633" s="9"/>
      <c r="I633" s="48"/>
      <c r="J633" s="78" cm="1">
        <f t="array" ref="J633">IF(H633&lt;12.5, H633/2,
IF(H633&lt;29, 6.25,
IF(H633&lt;50, 6.5,
IF(H633&lt;79, 6.75,
VALUE(SUBSTITUTE(
INDEX(RESUMO!$J$2:$J$100, MATCH(1,
(D633&gt;=RESUMO!$H$2:$H$100)*(D633&lt;=RESUMO!$I$2:$I$100)*(H633&gt;=RESUMO!$K$2:$K$100)*(H633&lt;=RESUMO!$L$2:$L$100),
0)), "R$ ", ""))
))))</f>
        <v>0</v>
      </c>
      <c r="K633" s="9"/>
      <c r="L633" s="10" t="e">
        <f t="shared" si="135"/>
        <v>#DIV/0!</v>
      </c>
      <c r="M633" s="7"/>
      <c r="N633" s="48"/>
      <c r="O633" s="78" cm="1">
        <f t="array" ref="O633">IF(M633&lt;12.5, 0,
IF(M633&lt;29, 6.25,
IF(M633&lt;50, 6.5,
IF(M633&lt;79, 6.75,
VALUE(SUBSTITUTE(
INDEX(RESUMO!$J$2:$J$100, MATCH(1,
(D633&gt;=RESUMO!$H$2:$H$100)*(D633&lt;=RESUMO!$I$2:$I$100)*(M633&gt;=RESUMO!$K$2:$K$100)*(M633&lt;=RESUMO!$L$2:$L$100),
0)), "R$ ", ""))
))))</f>
        <v>0</v>
      </c>
      <c r="P633" s="9"/>
      <c r="Q633" s="10" t="e">
        <f t="shared" si="136"/>
        <v>#DIV/0!</v>
      </c>
      <c r="R633" s="5">
        <f t="shared" si="137"/>
        <v>-5.1128</v>
      </c>
      <c r="S633" s="5">
        <f t="shared" si="138"/>
        <v>-132.93279999999999</v>
      </c>
      <c r="T633" s="5">
        <f t="shared" si="139"/>
        <v>-5.1128</v>
      </c>
      <c r="U633" s="5">
        <f t="shared" si="140"/>
        <v>-132.93279999999999</v>
      </c>
    </row>
    <row r="634" spans="1:21" x14ac:dyDescent="0.25">
      <c r="A634" s="11"/>
      <c r="B634" s="6" t="s">
        <v>692</v>
      </c>
      <c r="C634" s="9">
        <v>202.92</v>
      </c>
      <c r="D634" s="6"/>
      <c r="E634" s="8">
        <v>0.04</v>
      </c>
      <c r="F634" s="49">
        <v>0</v>
      </c>
      <c r="G634" s="9">
        <v>0</v>
      </c>
      <c r="H634" s="9"/>
      <c r="I634" s="48"/>
      <c r="J634" s="78" cm="1">
        <f t="array" ref="J634">IF(H634&lt;12.5, H634/2,
IF(H634&lt;29, 6.25,
IF(H634&lt;50, 6.5,
IF(H634&lt;79, 6.75,
VALUE(SUBSTITUTE(
INDEX(RESUMO!$J$2:$J$100, MATCH(1,
(D634&gt;=RESUMO!$H$2:$H$100)*(D634&lt;=RESUMO!$I$2:$I$100)*(H634&gt;=RESUMO!$K$2:$K$100)*(H634&lt;=RESUMO!$L$2:$L$100),
0)), "R$ ", ""))
))))</f>
        <v>0</v>
      </c>
      <c r="K634" s="9"/>
      <c r="L634" s="10" t="e">
        <f t="shared" si="135"/>
        <v>#DIV/0!</v>
      </c>
      <c r="M634" s="7"/>
      <c r="N634" s="48"/>
      <c r="O634" s="78" cm="1">
        <f t="array" ref="O634">IF(M634&lt;12.5, 0,
IF(M634&lt;29, 6.25,
IF(M634&lt;50, 6.5,
IF(M634&lt;79, 6.75,
VALUE(SUBSTITUTE(
INDEX(RESUMO!$J$2:$J$100, MATCH(1,
(D634&gt;=RESUMO!$H$2:$H$100)*(D634&lt;=RESUMO!$I$2:$I$100)*(M634&gt;=RESUMO!$K$2:$K$100)*(M634&lt;=RESUMO!$L$2:$L$100),
0)), "R$ ", ""))
))))</f>
        <v>0</v>
      </c>
      <c r="P634" s="9"/>
      <c r="Q634" s="10" t="e">
        <f t="shared" si="136"/>
        <v>#DIV/0!</v>
      </c>
      <c r="R634" s="5">
        <f t="shared" si="137"/>
        <v>-8.1167999999999996</v>
      </c>
      <c r="S634" s="5">
        <f t="shared" si="138"/>
        <v>-211.0368</v>
      </c>
      <c r="T634" s="5">
        <f t="shared" si="139"/>
        <v>-8.1167999999999996</v>
      </c>
      <c r="U634" s="5">
        <f t="shared" si="140"/>
        <v>-211.0368</v>
      </c>
    </row>
    <row r="635" spans="1:21" x14ac:dyDescent="0.25">
      <c r="A635" s="11"/>
      <c r="B635" s="6" t="s">
        <v>693</v>
      </c>
      <c r="C635" s="9">
        <v>147.06</v>
      </c>
      <c r="D635" s="6"/>
      <c r="E635" s="8">
        <v>0.04</v>
      </c>
      <c r="F635" s="49">
        <v>0</v>
      </c>
      <c r="G635" s="9">
        <v>0</v>
      </c>
      <c r="H635" s="9"/>
      <c r="I635" s="48"/>
      <c r="J635" s="78" cm="1">
        <f t="array" ref="J635">IF(H635&lt;12.5, H635/2,
IF(H635&lt;29, 6.25,
IF(H635&lt;50, 6.5,
IF(H635&lt;79, 6.75,
VALUE(SUBSTITUTE(
INDEX(RESUMO!$J$2:$J$100, MATCH(1,
(D635&gt;=RESUMO!$H$2:$H$100)*(D635&lt;=RESUMO!$I$2:$I$100)*(H635&gt;=RESUMO!$K$2:$K$100)*(H635&lt;=RESUMO!$L$2:$L$100),
0)), "R$ ", ""))
))))</f>
        <v>0</v>
      </c>
      <c r="K635" s="9"/>
      <c r="L635" s="10" t="e">
        <f t="shared" si="135"/>
        <v>#DIV/0!</v>
      </c>
      <c r="M635" s="7"/>
      <c r="N635" s="48"/>
      <c r="O635" s="78" cm="1">
        <f t="array" ref="O635">IF(M635&lt;12.5, 0,
IF(M635&lt;29, 6.25,
IF(M635&lt;50, 6.5,
IF(M635&lt;79, 6.75,
VALUE(SUBSTITUTE(
INDEX(RESUMO!$J$2:$J$100, MATCH(1,
(D635&gt;=RESUMO!$H$2:$H$100)*(D635&lt;=RESUMO!$I$2:$I$100)*(M635&gt;=RESUMO!$K$2:$K$100)*(M635&lt;=RESUMO!$L$2:$L$100),
0)), "R$ ", ""))
))))</f>
        <v>0</v>
      </c>
      <c r="P635" s="9"/>
      <c r="Q635" s="10" t="e">
        <f t="shared" si="136"/>
        <v>#DIV/0!</v>
      </c>
      <c r="R635" s="5">
        <f t="shared" si="137"/>
        <v>-5.8824000000000005</v>
      </c>
      <c r="S635" s="5">
        <f t="shared" si="138"/>
        <v>-152.94239999999999</v>
      </c>
      <c r="T635" s="5">
        <f t="shared" si="139"/>
        <v>-5.8824000000000005</v>
      </c>
      <c r="U635" s="5">
        <f t="shared" si="140"/>
        <v>-152.94239999999999</v>
      </c>
    </row>
    <row r="636" spans="1:21" x14ac:dyDescent="0.25">
      <c r="A636" s="11"/>
      <c r="B636" s="6" t="s">
        <v>694</v>
      </c>
      <c r="C636" s="9">
        <v>391.07</v>
      </c>
      <c r="D636" s="6"/>
      <c r="E636" s="8">
        <v>0.04</v>
      </c>
      <c r="F636" s="49">
        <v>0</v>
      </c>
      <c r="G636" s="9">
        <v>0</v>
      </c>
      <c r="H636" s="9"/>
      <c r="I636" s="48"/>
      <c r="J636" s="78" cm="1">
        <f t="array" ref="J636">IF(H636&lt;12.5, H636/2,
IF(H636&lt;29, 6.25,
IF(H636&lt;50, 6.5,
IF(H636&lt;79, 6.75,
VALUE(SUBSTITUTE(
INDEX(RESUMO!$J$2:$J$100, MATCH(1,
(D636&gt;=RESUMO!$H$2:$H$100)*(D636&lt;=RESUMO!$I$2:$I$100)*(H636&gt;=RESUMO!$K$2:$K$100)*(H636&lt;=RESUMO!$L$2:$L$100),
0)), "R$ ", ""))
))))</f>
        <v>0</v>
      </c>
      <c r="K636" s="9"/>
      <c r="L636" s="10" t="e">
        <f t="shared" ref="L636:L717" si="141">S636/H636</f>
        <v>#DIV/0!</v>
      </c>
      <c r="M636" s="7"/>
      <c r="N636" s="48"/>
      <c r="O636" s="78" cm="1">
        <f t="array" ref="O636">IF(M636&lt;12.5, 0,
IF(M636&lt;29, 6.25,
IF(M636&lt;50, 6.5,
IF(M636&lt;79, 6.75,
VALUE(SUBSTITUTE(
INDEX(RESUMO!$J$2:$J$100, MATCH(1,
(D636&gt;=RESUMO!$H$2:$H$100)*(D636&lt;=RESUMO!$I$2:$I$100)*(M636&gt;=RESUMO!$K$2:$K$100)*(M636&lt;=RESUMO!$L$2:$L$100),
0)), "R$ ", ""))
))))</f>
        <v>0</v>
      </c>
      <c r="P636" s="9"/>
      <c r="Q636" s="10" t="e">
        <f t="shared" ref="Q636:Q717" si="142">U636/M636</f>
        <v>#DIV/0!</v>
      </c>
      <c r="R636" s="5">
        <f t="shared" ref="R636:R717" si="143">(H636-(H636*I636)-J636-(C636*E636)+K636)</f>
        <v>-15.642799999999999</v>
      </c>
      <c r="S636" s="5">
        <f t="shared" ref="S636:S717" si="144">R636-(C636-F636)</f>
        <v>-406.71280000000002</v>
      </c>
      <c r="T636" s="5">
        <f t="shared" ref="T636:T717" si="145">(M636-(M636*N636)-O636-(C636*E636)+P636)</f>
        <v>-15.642799999999999</v>
      </c>
      <c r="U636" s="5">
        <f t="shared" ref="U636:U717" si="146">T636-(C636-F636)</f>
        <v>-406.71280000000002</v>
      </c>
    </row>
    <row r="637" spans="1:21" x14ac:dyDescent="0.25">
      <c r="A637" s="11"/>
      <c r="B637" s="6" t="s">
        <v>695</v>
      </c>
      <c r="C637" s="9">
        <v>110.15</v>
      </c>
      <c r="D637" s="6"/>
      <c r="E637" s="8">
        <v>0.04</v>
      </c>
      <c r="F637" s="49">
        <v>0</v>
      </c>
      <c r="G637" s="9">
        <v>0</v>
      </c>
      <c r="H637" s="9"/>
      <c r="I637" s="48"/>
      <c r="J637" s="78" cm="1">
        <f t="array" ref="J637">IF(H637&lt;12.5, H637/2,
IF(H637&lt;29, 6.25,
IF(H637&lt;50, 6.5,
IF(H637&lt;79, 6.75,
VALUE(SUBSTITUTE(
INDEX(RESUMO!$J$2:$J$100, MATCH(1,
(D637&gt;=RESUMO!$H$2:$H$100)*(D637&lt;=RESUMO!$I$2:$I$100)*(H637&gt;=RESUMO!$K$2:$K$100)*(H637&lt;=RESUMO!$L$2:$L$100),
0)), "R$ ", ""))
))))</f>
        <v>0</v>
      </c>
      <c r="K637" s="9"/>
      <c r="L637" s="10" t="e">
        <f t="shared" si="141"/>
        <v>#DIV/0!</v>
      </c>
      <c r="M637" s="7"/>
      <c r="N637" s="48"/>
      <c r="O637" s="78" cm="1">
        <f t="array" ref="O637">IF(M637&lt;12.5, 0,
IF(M637&lt;29, 6.25,
IF(M637&lt;50, 6.5,
IF(M637&lt;79, 6.75,
VALUE(SUBSTITUTE(
INDEX(RESUMO!$J$2:$J$100, MATCH(1,
(D637&gt;=RESUMO!$H$2:$H$100)*(D637&lt;=RESUMO!$I$2:$I$100)*(M637&gt;=RESUMO!$K$2:$K$100)*(M637&lt;=RESUMO!$L$2:$L$100),
0)), "R$ ", ""))
))))</f>
        <v>0</v>
      </c>
      <c r="P637" s="9"/>
      <c r="Q637" s="10" t="e">
        <f t="shared" si="142"/>
        <v>#DIV/0!</v>
      </c>
      <c r="R637" s="5">
        <f t="shared" si="143"/>
        <v>-4.4060000000000006</v>
      </c>
      <c r="S637" s="5">
        <f t="shared" si="144"/>
        <v>-114.55600000000001</v>
      </c>
      <c r="T637" s="5">
        <f t="shared" si="145"/>
        <v>-4.4060000000000006</v>
      </c>
      <c r="U637" s="5">
        <f t="shared" si="146"/>
        <v>-114.55600000000001</v>
      </c>
    </row>
    <row r="638" spans="1:21" x14ac:dyDescent="0.25">
      <c r="A638" s="11"/>
      <c r="B638" s="6" t="s">
        <v>696</v>
      </c>
      <c r="C638" s="9">
        <v>110.15</v>
      </c>
      <c r="D638" s="6"/>
      <c r="E638" s="8">
        <v>0.04</v>
      </c>
      <c r="F638" s="49">
        <v>0</v>
      </c>
      <c r="G638" s="9">
        <v>0</v>
      </c>
      <c r="H638" s="9"/>
      <c r="I638" s="48"/>
      <c r="J638" s="78" cm="1">
        <f t="array" ref="J638">IF(H638&lt;12.5, H638/2,
IF(H638&lt;29, 6.25,
IF(H638&lt;50, 6.5,
IF(H638&lt;79, 6.75,
VALUE(SUBSTITUTE(
INDEX(RESUMO!$J$2:$J$100, MATCH(1,
(D638&gt;=RESUMO!$H$2:$H$100)*(D638&lt;=RESUMO!$I$2:$I$100)*(H638&gt;=RESUMO!$K$2:$K$100)*(H638&lt;=RESUMO!$L$2:$L$100),
0)), "R$ ", ""))
))))</f>
        <v>0</v>
      </c>
      <c r="K638" s="9"/>
      <c r="L638" s="10" t="e">
        <f t="shared" si="141"/>
        <v>#DIV/0!</v>
      </c>
      <c r="M638" s="7"/>
      <c r="N638" s="48"/>
      <c r="O638" s="78" cm="1">
        <f t="array" ref="O638">IF(M638&lt;12.5, 0,
IF(M638&lt;29, 6.25,
IF(M638&lt;50, 6.5,
IF(M638&lt;79, 6.75,
VALUE(SUBSTITUTE(
INDEX(RESUMO!$J$2:$J$100, MATCH(1,
(D638&gt;=RESUMO!$H$2:$H$100)*(D638&lt;=RESUMO!$I$2:$I$100)*(M638&gt;=RESUMO!$K$2:$K$100)*(M638&lt;=RESUMO!$L$2:$L$100),
0)), "R$ ", ""))
))))</f>
        <v>0</v>
      </c>
      <c r="P638" s="9"/>
      <c r="Q638" s="10" t="e">
        <f t="shared" si="142"/>
        <v>#DIV/0!</v>
      </c>
      <c r="R638" s="5">
        <f t="shared" si="143"/>
        <v>-4.4060000000000006</v>
      </c>
      <c r="S638" s="5">
        <f t="shared" si="144"/>
        <v>-114.55600000000001</v>
      </c>
      <c r="T638" s="5">
        <f t="shared" si="145"/>
        <v>-4.4060000000000006</v>
      </c>
      <c r="U638" s="5">
        <f t="shared" si="146"/>
        <v>-114.55600000000001</v>
      </c>
    </row>
    <row r="639" spans="1:21" x14ac:dyDescent="0.25">
      <c r="A639" s="11"/>
      <c r="B639" s="6" t="s">
        <v>697</v>
      </c>
      <c r="C639" s="9">
        <v>142.56</v>
      </c>
      <c r="D639" s="6"/>
      <c r="E639" s="8">
        <v>0.04</v>
      </c>
      <c r="F639" s="49">
        <v>0</v>
      </c>
      <c r="G639" s="9">
        <v>0</v>
      </c>
      <c r="H639" s="9"/>
      <c r="I639" s="48"/>
      <c r="J639" s="78" cm="1">
        <f t="array" ref="J639">IF(H639&lt;12.5, H639/2,
IF(H639&lt;29, 6.25,
IF(H639&lt;50, 6.5,
IF(H639&lt;79, 6.75,
VALUE(SUBSTITUTE(
INDEX(RESUMO!$J$2:$J$100, MATCH(1,
(D639&gt;=RESUMO!$H$2:$H$100)*(D639&lt;=RESUMO!$I$2:$I$100)*(H639&gt;=RESUMO!$K$2:$K$100)*(H639&lt;=RESUMO!$L$2:$L$100),
0)), "R$ ", ""))
))))</f>
        <v>0</v>
      </c>
      <c r="K639" s="9"/>
      <c r="L639" s="10" t="e">
        <f t="shared" si="141"/>
        <v>#DIV/0!</v>
      </c>
      <c r="M639" s="7"/>
      <c r="N639" s="48"/>
      <c r="O639" s="78" cm="1">
        <f t="array" ref="O639">IF(M639&lt;12.5, 0,
IF(M639&lt;29, 6.25,
IF(M639&lt;50, 6.5,
IF(M639&lt;79, 6.75,
VALUE(SUBSTITUTE(
INDEX(RESUMO!$J$2:$J$100, MATCH(1,
(D639&gt;=RESUMO!$H$2:$H$100)*(D639&lt;=RESUMO!$I$2:$I$100)*(M639&gt;=RESUMO!$K$2:$K$100)*(M639&lt;=RESUMO!$L$2:$L$100),
0)), "R$ ", ""))
))))</f>
        <v>0</v>
      </c>
      <c r="P639" s="9"/>
      <c r="Q639" s="10" t="e">
        <f t="shared" si="142"/>
        <v>#DIV/0!</v>
      </c>
      <c r="R639" s="5">
        <f t="shared" si="143"/>
        <v>-5.7023999999999999</v>
      </c>
      <c r="S639" s="5">
        <f t="shared" si="144"/>
        <v>-148.26240000000001</v>
      </c>
      <c r="T639" s="5">
        <f t="shared" si="145"/>
        <v>-5.7023999999999999</v>
      </c>
      <c r="U639" s="5">
        <f t="shared" si="146"/>
        <v>-148.26240000000001</v>
      </c>
    </row>
    <row r="640" spans="1:21" x14ac:dyDescent="0.25">
      <c r="A640" s="11"/>
      <c r="B640" s="6" t="s">
        <v>698</v>
      </c>
      <c r="C640" s="9">
        <v>64.599999999999994</v>
      </c>
      <c r="D640" s="6"/>
      <c r="E640" s="8">
        <v>0.04</v>
      </c>
      <c r="F640" s="49">
        <v>0</v>
      </c>
      <c r="G640" s="9">
        <v>0</v>
      </c>
      <c r="H640" s="9"/>
      <c r="I640" s="48"/>
      <c r="J640" s="78" cm="1">
        <f t="array" ref="J640">IF(H640&lt;12.5, H640/2,
IF(H640&lt;29, 6.25,
IF(H640&lt;50, 6.5,
IF(H640&lt;79, 6.75,
VALUE(SUBSTITUTE(
INDEX(RESUMO!$J$2:$J$100, MATCH(1,
(D640&gt;=RESUMO!$H$2:$H$100)*(D640&lt;=RESUMO!$I$2:$I$100)*(H640&gt;=RESUMO!$K$2:$K$100)*(H640&lt;=RESUMO!$L$2:$L$100),
0)), "R$ ", ""))
))))</f>
        <v>0</v>
      </c>
      <c r="K640" s="9"/>
      <c r="L640" s="10" t="e">
        <f t="shared" si="141"/>
        <v>#DIV/0!</v>
      </c>
      <c r="M640" s="7"/>
      <c r="N640" s="48"/>
      <c r="O640" s="78" cm="1">
        <f t="array" ref="O640">IF(M640&lt;12.5, 0,
IF(M640&lt;29, 6.25,
IF(M640&lt;50, 6.5,
IF(M640&lt;79, 6.75,
VALUE(SUBSTITUTE(
INDEX(RESUMO!$J$2:$J$100, MATCH(1,
(D640&gt;=RESUMO!$H$2:$H$100)*(D640&lt;=RESUMO!$I$2:$I$100)*(M640&gt;=RESUMO!$K$2:$K$100)*(M640&lt;=RESUMO!$L$2:$L$100),
0)), "R$ ", ""))
))))</f>
        <v>0</v>
      </c>
      <c r="P640" s="9"/>
      <c r="Q640" s="10" t="e">
        <f t="shared" si="142"/>
        <v>#DIV/0!</v>
      </c>
      <c r="R640" s="5">
        <f t="shared" si="143"/>
        <v>-2.5839999999999996</v>
      </c>
      <c r="S640" s="5">
        <f t="shared" si="144"/>
        <v>-67.183999999999997</v>
      </c>
      <c r="T640" s="5">
        <f t="shared" si="145"/>
        <v>-2.5839999999999996</v>
      </c>
      <c r="U640" s="5">
        <f t="shared" si="146"/>
        <v>-67.183999999999997</v>
      </c>
    </row>
    <row r="641" spans="1:21" x14ac:dyDescent="0.25">
      <c r="A641" s="11"/>
      <c r="B641" s="6" t="s">
        <v>699</v>
      </c>
      <c r="C641" s="9">
        <v>60.76</v>
      </c>
      <c r="D641" s="6"/>
      <c r="E641" s="8">
        <v>0.04</v>
      </c>
      <c r="F641" s="49">
        <v>0</v>
      </c>
      <c r="G641" s="9">
        <v>0</v>
      </c>
      <c r="H641" s="9"/>
      <c r="I641" s="48"/>
      <c r="J641" s="78" cm="1">
        <f t="array" ref="J641">IF(H641&lt;12.5, H641/2,
IF(H641&lt;29, 6.25,
IF(H641&lt;50, 6.5,
IF(H641&lt;79, 6.75,
VALUE(SUBSTITUTE(
INDEX(RESUMO!$J$2:$J$100, MATCH(1,
(D641&gt;=RESUMO!$H$2:$H$100)*(D641&lt;=RESUMO!$I$2:$I$100)*(H641&gt;=RESUMO!$K$2:$K$100)*(H641&lt;=RESUMO!$L$2:$L$100),
0)), "R$ ", ""))
))))</f>
        <v>0</v>
      </c>
      <c r="K641" s="9"/>
      <c r="L641" s="10" t="e">
        <f t="shared" si="141"/>
        <v>#DIV/0!</v>
      </c>
      <c r="M641" s="7"/>
      <c r="N641" s="48"/>
      <c r="O641" s="78" cm="1">
        <f t="array" ref="O641">IF(M641&lt;12.5, 0,
IF(M641&lt;29, 6.25,
IF(M641&lt;50, 6.5,
IF(M641&lt;79, 6.75,
VALUE(SUBSTITUTE(
INDEX(RESUMO!$J$2:$J$100, MATCH(1,
(D641&gt;=RESUMO!$H$2:$H$100)*(D641&lt;=RESUMO!$I$2:$I$100)*(M641&gt;=RESUMO!$K$2:$K$100)*(M641&lt;=RESUMO!$L$2:$L$100),
0)), "R$ ", ""))
))))</f>
        <v>0</v>
      </c>
      <c r="P641" s="9"/>
      <c r="Q641" s="10" t="e">
        <f t="shared" si="142"/>
        <v>#DIV/0!</v>
      </c>
      <c r="R641" s="5">
        <f t="shared" si="143"/>
        <v>-2.4304000000000001</v>
      </c>
      <c r="S641" s="5">
        <f t="shared" si="144"/>
        <v>-63.190399999999997</v>
      </c>
      <c r="T641" s="5">
        <f t="shared" si="145"/>
        <v>-2.4304000000000001</v>
      </c>
      <c r="U641" s="5">
        <f t="shared" si="146"/>
        <v>-63.190399999999997</v>
      </c>
    </row>
    <row r="642" spans="1:21" x14ac:dyDescent="0.25">
      <c r="A642" s="11"/>
      <c r="B642" s="6" t="s">
        <v>700</v>
      </c>
      <c r="C642" s="9">
        <v>60.76</v>
      </c>
      <c r="D642" s="6"/>
      <c r="E642" s="8">
        <v>0.04</v>
      </c>
      <c r="F642" s="49">
        <v>0</v>
      </c>
      <c r="G642" s="9">
        <v>0</v>
      </c>
      <c r="H642" s="9"/>
      <c r="I642" s="48"/>
      <c r="J642" s="78" cm="1">
        <f t="array" ref="J642">IF(H642&lt;12.5, H642/2,
IF(H642&lt;29, 6.25,
IF(H642&lt;50, 6.5,
IF(H642&lt;79, 6.75,
VALUE(SUBSTITUTE(
INDEX(RESUMO!$J$2:$J$100, MATCH(1,
(D642&gt;=RESUMO!$H$2:$H$100)*(D642&lt;=RESUMO!$I$2:$I$100)*(H642&gt;=RESUMO!$K$2:$K$100)*(H642&lt;=RESUMO!$L$2:$L$100),
0)), "R$ ", ""))
))))</f>
        <v>0</v>
      </c>
      <c r="K642" s="9"/>
      <c r="L642" s="10" t="e">
        <f t="shared" si="141"/>
        <v>#DIV/0!</v>
      </c>
      <c r="M642" s="7"/>
      <c r="N642" s="48"/>
      <c r="O642" s="78" cm="1">
        <f t="array" ref="O642">IF(M642&lt;12.5, 0,
IF(M642&lt;29, 6.25,
IF(M642&lt;50, 6.5,
IF(M642&lt;79, 6.75,
VALUE(SUBSTITUTE(
INDEX(RESUMO!$J$2:$J$100, MATCH(1,
(D642&gt;=RESUMO!$H$2:$H$100)*(D642&lt;=RESUMO!$I$2:$I$100)*(M642&gt;=RESUMO!$K$2:$K$100)*(M642&lt;=RESUMO!$L$2:$L$100),
0)), "R$ ", ""))
))))</f>
        <v>0</v>
      </c>
      <c r="P642" s="9"/>
      <c r="Q642" s="10" t="e">
        <f t="shared" si="142"/>
        <v>#DIV/0!</v>
      </c>
      <c r="R642" s="5">
        <f t="shared" si="143"/>
        <v>-2.4304000000000001</v>
      </c>
      <c r="S642" s="5">
        <f t="shared" si="144"/>
        <v>-63.190399999999997</v>
      </c>
      <c r="T642" s="5">
        <f t="shared" si="145"/>
        <v>-2.4304000000000001</v>
      </c>
      <c r="U642" s="5">
        <f t="shared" si="146"/>
        <v>-63.190399999999997</v>
      </c>
    </row>
    <row r="643" spans="1:21" x14ac:dyDescent="0.25">
      <c r="A643" s="11"/>
      <c r="B643" s="6" t="s">
        <v>701</v>
      </c>
      <c r="C643" s="9">
        <v>61.85</v>
      </c>
      <c r="D643" s="6"/>
      <c r="E643" s="8">
        <v>0.04</v>
      </c>
      <c r="F643" s="49">
        <v>0</v>
      </c>
      <c r="G643" s="9">
        <v>0</v>
      </c>
      <c r="H643" s="9"/>
      <c r="I643" s="48"/>
      <c r="J643" s="78" cm="1">
        <f t="array" ref="J643">IF(H643&lt;12.5, H643/2,
IF(H643&lt;29, 6.25,
IF(H643&lt;50, 6.5,
IF(H643&lt;79, 6.75,
VALUE(SUBSTITUTE(
INDEX(RESUMO!$J$2:$J$100, MATCH(1,
(D643&gt;=RESUMO!$H$2:$H$100)*(D643&lt;=RESUMO!$I$2:$I$100)*(H643&gt;=RESUMO!$K$2:$K$100)*(H643&lt;=RESUMO!$L$2:$L$100),
0)), "R$ ", ""))
))))</f>
        <v>0</v>
      </c>
      <c r="K643" s="9"/>
      <c r="L643" s="10" t="e">
        <f t="shared" si="141"/>
        <v>#DIV/0!</v>
      </c>
      <c r="M643" s="7"/>
      <c r="N643" s="48"/>
      <c r="O643" s="78" cm="1">
        <f t="array" ref="O643">IF(M643&lt;12.5, 0,
IF(M643&lt;29, 6.25,
IF(M643&lt;50, 6.5,
IF(M643&lt;79, 6.75,
VALUE(SUBSTITUTE(
INDEX(RESUMO!$J$2:$J$100, MATCH(1,
(D643&gt;=RESUMO!$H$2:$H$100)*(D643&lt;=RESUMO!$I$2:$I$100)*(M643&gt;=RESUMO!$K$2:$K$100)*(M643&lt;=RESUMO!$L$2:$L$100),
0)), "R$ ", ""))
))))</f>
        <v>0</v>
      </c>
      <c r="P643" s="9"/>
      <c r="Q643" s="10" t="e">
        <f t="shared" si="142"/>
        <v>#DIV/0!</v>
      </c>
      <c r="R643" s="5">
        <f t="shared" si="143"/>
        <v>-2.4740000000000002</v>
      </c>
      <c r="S643" s="5">
        <f t="shared" si="144"/>
        <v>-64.323999999999998</v>
      </c>
      <c r="T643" s="5">
        <f t="shared" si="145"/>
        <v>-2.4740000000000002</v>
      </c>
      <c r="U643" s="5">
        <f t="shared" si="146"/>
        <v>-64.323999999999998</v>
      </c>
    </row>
    <row r="644" spans="1:21" x14ac:dyDescent="0.25">
      <c r="A644" s="11"/>
      <c r="B644" s="6" t="s">
        <v>702</v>
      </c>
      <c r="C644" s="9">
        <v>73.37</v>
      </c>
      <c r="D644" s="6"/>
      <c r="E644" s="8">
        <v>0.04</v>
      </c>
      <c r="F644" s="49">
        <v>0</v>
      </c>
      <c r="G644" s="9">
        <v>0</v>
      </c>
      <c r="H644" s="9"/>
      <c r="I644" s="48"/>
      <c r="J644" s="78" cm="1">
        <f t="array" ref="J644">IF(H644&lt;12.5, H644/2,
IF(H644&lt;29, 6.25,
IF(H644&lt;50, 6.5,
IF(H644&lt;79, 6.75,
VALUE(SUBSTITUTE(
INDEX(RESUMO!$J$2:$J$100, MATCH(1,
(D644&gt;=RESUMO!$H$2:$H$100)*(D644&lt;=RESUMO!$I$2:$I$100)*(H644&gt;=RESUMO!$K$2:$K$100)*(H644&lt;=RESUMO!$L$2:$L$100),
0)), "R$ ", ""))
))))</f>
        <v>0</v>
      </c>
      <c r="K644" s="9"/>
      <c r="L644" s="10" t="e">
        <f t="shared" si="141"/>
        <v>#DIV/0!</v>
      </c>
      <c r="M644" s="7"/>
      <c r="N644" s="48"/>
      <c r="O644" s="78" cm="1">
        <f t="array" ref="O644">IF(M644&lt;12.5, 0,
IF(M644&lt;29, 6.25,
IF(M644&lt;50, 6.5,
IF(M644&lt;79, 6.75,
VALUE(SUBSTITUTE(
INDEX(RESUMO!$J$2:$J$100, MATCH(1,
(D644&gt;=RESUMO!$H$2:$H$100)*(D644&lt;=RESUMO!$I$2:$I$100)*(M644&gt;=RESUMO!$K$2:$K$100)*(M644&lt;=RESUMO!$L$2:$L$100),
0)), "R$ ", ""))
))))</f>
        <v>0</v>
      </c>
      <c r="P644" s="9"/>
      <c r="Q644" s="10" t="e">
        <f t="shared" si="142"/>
        <v>#DIV/0!</v>
      </c>
      <c r="R644" s="5">
        <f t="shared" si="143"/>
        <v>-2.9348000000000001</v>
      </c>
      <c r="S644" s="5">
        <f t="shared" si="144"/>
        <v>-76.3048</v>
      </c>
      <c r="T644" s="5">
        <f t="shared" si="145"/>
        <v>-2.9348000000000001</v>
      </c>
      <c r="U644" s="5">
        <f t="shared" si="146"/>
        <v>-76.3048</v>
      </c>
    </row>
    <row r="645" spans="1:21" x14ac:dyDescent="0.25">
      <c r="A645" s="11"/>
      <c r="B645" s="6" t="s">
        <v>703</v>
      </c>
      <c r="C645" s="9">
        <v>79.650000000000006</v>
      </c>
      <c r="D645" s="6"/>
      <c r="E645" s="8">
        <v>0.04</v>
      </c>
      <c r="F645" s="49">
        <v>0</v>
      </c>
      <c r="G645" s="9">
        <v>0</v>
      </c>
      <c r="H645" s="9"/>
      <c r="I645" s="48"/>
      <c r="J645" s="78" cm="1">
        <f t="array" ref="J645">IF(H645&lt;12.5, H645/2,
IF(H645&lt;29, 6.25,
IF(H645&lt;50, 6.5,
IF(H645&lt;79, 6.75,
VALUE(SUBSTITUTE(
INDEX(RESUMO!$J$2:$J$100, MATCH(1,
(D645&gt;=RESUMO!$H$2:$H$100)*(D645&lt;=RESUMO!$I$2:$I$100)*(H645&gt;=RESUMO!$K$2:$K$100)*(H645&lt;=RESUMO!$L$2:$L$100),
0)), "R$ ", ""))
))))</f>
        <v>0</v>
      </c>
      <c r="K645" s="9"/>
      <c r="L645" s="10" t="e">
        <f t="shared" si="141"/>
        <v>#DIV/0!</v>
      </c>
      <c r="M645" s="7"/>
      <c r="N645" s="48"/>
      <c r="O645" s="78" cm="1">
        <f t="array" ref="O645">IF(M645&lt;12.5, 0,
IF(M645&lt;29, 6.25,
IF(M645&lt;50, 6.5,
IF(M645&lt;79, 6.75,
VALUE(SUBSTITUTE(
INDEX(RESUMO!$J$2:$J$100, MATCH(1,
(D645&gt;=RESUMO!$H$2:$H$100)*(D645&lt;=RESUMO!$I$2:$I$100)*(M645&gt;=RESUMO!$K$2:$K$100)*(M645&lt;=RESUMO!$L$2:$L$100),
0)), "R$ ", ""))
))))</f>
        <v>0</v>
      </c>
      <c r="P645" s="9"/>
      <c r="Q645" s="10" t="e">
        <f t="shared" si="142"/>
        <v>#DIV/0!</v>
      </c>
      <c r="R645" s="5">
        <f t="shared" si="143"/>
        <v>-3.1860000000000004</v>
      </c>
      <c r="S645" s="5">
        <f t="shared" si="144"/>
        <v>-82.836000000000013</v>
      </c>
      <c r="T645" s="5">
        <f t="shared" si="145"/>
        <v>-3.1860000000000004</v>
      </c>
      <c r="U645" s="5">
        <f t="shared" si="146"/>
        <v>-82.836000000000013</v>
      </c>
    </row>
    <row r="646" spans="1:21" x14ac:dyDescent="0.25">
      <c r="A646" s="11"/>
      <c r="B646" s="6" t="s">
        <v>704</v>
      </c>
      <c r="C646" s="9">
        <v>71.260000000000005</v>
      </c>
      <c r="D646" s="6"/>
      <c r="E646" s="8">
        <v>0.04</v>
      </c>
      <c r="F646" s="49">
        <v>0</v>
      </c>
      <c r="G646" s="9">
        <v>0</v>
      </c>
      <c r="H646" s="9"/>
      <c r="I646" s="48"/>
      <c r="J646" s="78" cm="1">
        <f t="array" ref="J646">IF(H646&lt;12.5, H646/2,
IF(H646&lt;29, 6.25,
IF(H646&lt;50, 6.5,
IF(H646&lt;79, 6.75,
VALUE(SUBSTITUTE(
INDEX(RESUMO!$J$2:$J$100, MATCH(1,
(D646&gt;=RESUMO!$H$2:$H$100)*(D646&lt;=RESUMO!$I$2:$I$100)*(H646&gt;=RESUMO!$K$2:$K$100)*(H646&lt;=RESUMO!$L$2:$L$100),
0)), "R$ ", ""))
))))</f>
        <v>0</v>
      </c>
      <c r="K646" s="9"/>
      <c r="L646" s="10" t="e">
        <f t="shared" si="141"/>
        <v>#DIV/0!</v>
      </c>
      <c r="M646" s="7"/>
      <c r="N646" s="48"/>
      <c r="O646" s="78" cm="1">
        <f t="array" ref="O646">IF(M646&lt;12.5, 0,
IF(M646&lt;29, 6.25,
IF(M646&lt;50, 6.5,
IF(M646&lt;79, 6.75,
VALUE(SUBSTITUTE(
INDEX(RESUMO!$J$2:$J$100, MATCH(1,
(D646&gt;=RESUMO!$H$2:$H$100)*(D646&lt;=RESUMO!$I$2:$I$100)*(M646&gt;=RESUMO!$K$2:$K$100)*(M646&lt;=RESUMO!$L$2:$L$100),
0)), "R$ ", ""))
))))</f>
        <v>0</v>
      </c>
      <c r="P646" s="9"/>
      <c r="Q646" s="10" t="e">
        <f t="shared" si="142"/>
        <v>#DIV/0!</v>
      </c>
      <c r="R646" s="5">
        <f t="shared" si="143"/>
        <v>-2.8504</v>
      </c>
      <c r="S646" s="5">
        <f t="shared" si="144"/>
        <v>-74.110399999999998</v>
      </c>
      <c r="T646" s="5">
        <f t="shared" si="145"/>
        <v>-2.8504</v>
      </c>
      <c r="U646" s="5">
        <f t="shared" si="146"/>
        <v>-74.110399999999998</v>
      </c>
    </row>
    <row r="647" spans="1:21" x14ac:dyDescent="0.25">
      <c r="A647" s="11"/>
      <c r="B647" s="6" t="s">
        <v>705</v>
      </c>
      <c r="C647" s="9">
        <v>71.260000000000005</v>
      </c>
      <c r="D647" s="6"/>
      <c r="E647" s="8">
        <v>0.04</v>
      </c>
      <c r="F647" s="49">
        <v>0</v>
      </c>
      <c r="G647" s="9">
        <v>0</v>
      </c>
      <c r="H647" s="9"/>
      <c r="I647" s="48"/>
      <c r="J647" s="78" cm="1">
        <f t="array" ref="J647">IF(H647&lt;12.5, H647/2,
IF(H647&lt;29, 6.25,
IF(H647&lt;50, 6.5,
IF(H647&lt;79, 6.75,
VALUE(SUBSTITUTE(
INDEX(RESUMO!$J$2:$J$100, MATCH(1,
(D647&gt;=RESUMO!$H$2:$H$100)*(D647&lt;=RESUMO!$I$2:$I$100)*(H647&gt;=RESUMO!$K$2:$K$100)*(H647&lt;=RESUMO!$L$2:$L$100),
0)), "R$ ", ""))
))))</f>
        <v>0</v>
      </c>
      <c r="K647" s="9"/>
      <c r="L647" s="10" t="e">
        <f t="shared" ref="L647:L667" si="147">S647/H647</f>
        <v>#DIV/0!</v>
      </c>
      <c r="M647" s="7"/>
      <c r="N647" s="48"/>
      <c r="O647" s="78" cm="1">
        <f t="array" ref="O647">IF(M647&lt;12.5, 0,
IF(M647&lt;29, 6.25,
IF(M647&lt;50, 6.5,
IF(M647&lt;79, 6.75,
VALUE(SUBSTITUTE(
INDEX(RESUMO!$J$2:$J$100, MATCH(1,
(D647&gt;=RESUMO!$H$2:$H$100)*(D647&lt;=RESUMO!$I$2:$I$100)*(M647&gt;=RESUMO!$K$2:$K$100)*(M647&lt;=RESUMO!$L$2:$L$100),
0)), "R$ ", ""))
))))</f>
        <v>0</v>
      </c>
      <c r="P647" s="9"/>
      <c r="Q647" s="10" t="e">
        <f t="shared" ref="Q647:Q667" si="148">U647/M647</f>
        <v>#DIV/0!</v>
      </c>
      <c r="R647" s="5">
        <f t="shared" ref="R647:R667" si="149">(H647-(H647*I647)-J647-(C647*E647)+K647)</f>
        <v>-2.8504</v>
      </c>
      <c r="S647" s="5">
        <f t="shared" ref="S647:S667" si="150">R647-(C647-F647)</f>
        <v>-74.110399999999998</v>
      </c>
      <c r="T647" s="5">
        <f t="shared" ref="T647:T667" si="151">(M647-(M647*N647)-O647-(C647*E647)+P647)</f>
        <v>-2.8504</v>
      </c>
      <c r="U647" s="5">
        <f t="shared" ref="U647:U667" si="152">T647-(C647-F647)</f>
        <v>-74.110399999999998</v>
      </c>
    </row>
    <row r="648" spans="1:21" x14ac:dyDescent="0.25">
      <c r="A648" s="11"/>
      <c r="B648" s="6" t="s">
        <v>708</v>
      </c>
      <c r="C648" s="9">
        <v>51.16</v>
      </c>
      <c r="D648" s="6"/>
      <c r="E648" s="8">
        <v>0.04</v>
      </c>
      <c r="F648" s="49">
        <v>0</v>
      </c>
      <c r="G648" s="9">
        <v>0</v>
      </c>
      <c r="H648" s="9"/>
      <c r="I648" s="48"/>
      <c r="J648" s="78" cm="1">
        <f t="array" ref="J648">IF(H648&lt;12.5, H648/2,
IF(H648&lt;29, 6.25,
IF(H648&lt;50, 6.5,
IF(H648&lt;79, 6.75,
VALUE(SUBSTITUTE(
INDEX(RESUMO!$J$2:$J$100, MATCH(1,
(D648&gt;=RESUMO!$H$2:$H$100)*(D648&lt;=RESUMO!$I$2:$I$100)*(H648&gt;=RESUMO!$K$2:$K$100)*(H648&lt;=RESUMO!$L$2:$L$100),
0)), "R$ ", ""))
))))</f>
        <v>0</v>
      </c>
      <c r="K648" s="9"/>
      <c r="L648" s="10" t="e">
        <f t="shared" si="147"/>
        <v>#DIV/0!</v>
      </c>
      <c r="M648" s="7"/>
      <c r="N648" s="48"/>
      <c r="O648" s="78" cm="1">
        <f t="array" ref="O648">IF(M648&lt;12.5, 0,
IF(M648&lt;29, 6.25,
IF(M648&lt;50, 6.5,
IF(M648&lt;79, 6.75,
VALUE(SUBSTITUTE(
INDEX(RESUMO!$J$2:$J$100, MATCH(1,
(D648&gt;=RESUMO!$H$2:$H$100)*(D648&lt;=RESUMO!$I$2:$I$100)*(M648&gt;=RESUMO!$K$2:$K$100)*(M648&lt;=RESUMO!$L$2:$L$100),
0)), "R$ ", ""))
))))</f>
        <v>0</v>
      </c>
      <c r="P648" s="9"/>
      <c r="Q648" s="10" t="e">
        <f t="shared" si="148"/>
        <v>#DIV/0!</v>
      </c>
      <c r="R648" s="5">
        <f t="shared" si="149"/>
        <v>-2.0463999999999998</v>
      </c>
      <c r="S648" s="5">
        <f t="shared" si="150"/>
        <v>-53.206399999999995</v>
      </c>
      <c r="T648" s="5">
        <f t="shared" si="151"/>
        <v>-2.0463999999999998</v>
      </c>
      <c r="U648" s="5">
        <f t="shared" si="152"/>
        <v>-53.206399999999995</v>
      </c>
    </row>
    <row r="649" spans="1:21" x14ac:dyDescent="0.25">
      <c r="A649" s="11"/>
      <c r="B649" s="6" t="s">
        <v>709</v>
      </c>
      <c r="C649" s="9">
        <v>51.16</v>
      </c>
      <c r="D649" s="6"/>
      <c r="E649" s="8">
        <v>0.04</v>
      </c>
      <c r="F649" s="49">
        <v>0</v>
      </c>
      <c r="G649" s="9">
        <v>0</v>
      </c>
      <c r="H649" s="9"/>
      <c r="I649" s="48"/>
      <c r="J649" s="78" cm="1">
        <f t="array" ref="J649">IF(H649&lt;12.5, H649/2,
IF(H649&lt;29, 6.25,
IF(H649&lt;50, 6.5,
IF(H649&lt;79, 6.75,
VALUE(SUBSTITUTE(
INDEX(RESUMO!$J$2:$J$100, MATCH(1,
(D649&gt;=RESUMO!$H$2:$H$100)*(D649&lt;=RESUMO!$I$2:$I$100)*(H649&gt;=RESUMO!$K$2:$K$100)*(H649&lt;=RESUMO!$L$2:$L$100),
0)), "R$ ", ""))
))))</f>
        <v>0</v>
      </c>
      <c r="K649" s="9"/>
      <c r="L649" s="10" t="e">
        <f t="shared" si="147"/>
        <v>#DIV/0!</v>
      </c>
      <c r="M649" s="7"/>
      <c r="N649" s="48"/>
      <c r="O649" s="78" cm="1">
        <f t="array" ref="O649">IF(M649&lt;12.5, 0,
IF(M649&lt;29, 6.25,
IF(M649&lt;50, 6.5,
IF(M649&lt;79, 6.75,
VALUE(SUBSTITUTE(
INDEX(RESUMO!$J$2:$J$100, MATCH(1,
(D649&gt;=RESUMO!$H$2:$H$100)*(D649&lt;=RESUMO!$I$2:$I$100)*(M649&gt;=RESUMO!$K$2:$K$100)*(M649&lt;=RESUMO!$L$2:$L$100),
0)), "R$ ", ""))
))))</f>
        <v>0</v>
      </c>
      <c r="P649" s="9"/>
      <c r="Q649" s="10" t="e">
        <f t="shared" si="148"/>
        <v>#DIV/0!</v>
      </c>
      <c r="R649" s="5">
        <f t="shared" si="149"/>
        <v>-2.0463999999999998</v>
      </c>
      <c r="S649" s="5">
        <f t="shared" si="150"/>
        <v>-53.206399999999995</v>
      </c>
      <c r="T649" s="5">
        <f t="shared" si="151"/>
        <v>-2.0463999999999998</v>
      </c>
      <c r="U649" s="5">
        <f t="shared" si="152"/>
        <v>-53.206399999999995</v>
      </c>
    </row>
    <row r="650" spans="1:21" x14ac:dyDescent="0.25">
      <c r="A650" s="11"/>
      <c r="B650" s="6" t="s">
        <v>706</v>
      </c>
      <c r="C650" s="9">
        <v>67.94</v>
      </c>
      <c r="D650" s="6"/>
      <c r="E650" s="8">
        <v>0.04</v>
      </c>
      <c r="F650" s="49">
        <v>0</v>
      </c>
      <c r="G650" s="9">
        <v>0</v>
      </c>
      <c r="H650" s="9"/>
      <c r="I650" s="48"/>
      <c r="J650" s="78" cm="1">
        <f t="array" ref="J650">IF(H650&lt;12.5, H650/2,
IF(H650&lt;29, 6.25,
IF(H650&lt;50, 6.5,
IF(H650&lt;79, 6.75,
VALUE(SUBSTITUTE(
INDEX(RESUMO!$J$2:$J$100, MATCH(1,
(D650&gt;=RESUMO!$H$2:$H$100)*(D650&lt;=RESUMO!$I$2:$I$100)*(H650&gt;=RESUMO!$K$2:$K$100)*(H650&lt;=RESUMO!$L$2:$L$100),
0)), "R$ ", ""))
))))</f>
        <v>0</v>
      </c>
      <c r="K650" s="9"/>
      <c r="L650" s="10" t="e">
        <f t="shared" si="147"/>
        <v>#DIV/0!</v>
      </c>
      <c r="M650" s="7"/>
      <c r="N650" s="48"/>
      <c r="O650" s="78" cm="1">
        <f t="array" ref="O650">IF(M650&lt;12.5, 0,
IF(M650&lt;29, 6.25,
IF(M650&lt;50, 6.5,
IF(M650&lt;79, 6.75,
VALUE(SUBSTITUTE(
INDEX(RESUMO!$J$2:$J$100, MATCH(1,
(D650&gt;=RESUMO!$H$2:$H$100)*(D650&lt;=RESUMO!$I$2:$I$100)*(M650&gt;=RESUMO!$K$2:$K$100)*(M650&lt;=RESUMO!$L$2:$L$100),
0)), "R$ ", ""))
))))</f>
        <v>0</v>
      </c>
      <c r="P650" s="9"/>
      <c r="Q650" s="10" t="e">
        <f t="shared" si="148"/>
        <v>#DIV/0!</v>
      </c>
      <c r="R650" s="5">
        <f t="shared" si="149"/>
        <v>-2.7176</v>
      </c>
      <c r="S650" s="5">
        <f t="shared" si="150"/>
        <v>-70.657600000000002</v>
      </c>
      <c r="T650" s="5">
        <f t="shared" si="151"/>
        <v>-2.7176</v>
      </c>
      <c r="U650" s="5">
        <f t="shared" si="152"/>
        <v>-70.657600000000002</v>
      </c>
    </row>
    <row r="651" spans="1:21" x14ac:dyDescent="0.25">
      <c r="A651" s="11"/>
      <c r="B651" s="6" t="s">
        <v>707</v>
      </c>
      <c r="C651" s="9">
        <v>78.97</v>
      </c>
      <c r="D651" s="6"/>
      <c r="E651" s="8">
        <v>0.04</v>
      </c>
      <c r="F651" s="49">
        <v>0</v>
      </c>
      <c r="G651" s="9">
        <v>0</v>
      </c>
      <c r="H651" s="9"/>
      <c r="I651" s="48"/>
      <c r="J651" s="78" cm="1">
        <f t="array" ref="J651">IF(H651&lt;12.5, H651/2,
IF(H651&lt;29, 6.25,
IF(H651&lt;50, 6.5,
IF(H651&lt;79, 6.75,
VALUE(SUBSTITUTE(
INDEX(RESUMO!$J$2:$J$100, MATCH(1,
(D651&gt;=RESUMO!$H$2:$H$100)*(D651&lt;=RESUMO!$I$2:$I$100)*(H651&gt;=RESUMO!$K$2:$K$100)*(H651&lt;=RESUMO!$L$2:$L$100),
0)), "R$ ", ""))
))))</f>
        <v>0</v>
      </c>
      <c r="K651" s="9"/>
      <c r="L651" s="10" t="e">
        <f t="shared" si="147"/>
        <v>#DIV/0!</v>
      </c>
      <c r="M651" s="7"/>
      <c r="N651" s="48"/>
      <c r="O651" s="78" cm="1">
        <f t="array" ref="O651">IF(M651&lt;12.5, 0,
IF(M651&lt;29, 6.25,
IF(M651&lt;50, 6.5,
IF(M651&lt;79, 6.75,
VALUE(SUBSTITUTE(
INDEX(RESUMO!$J$2:$J$100, MATCH(1,
(D651&gt;=RESUMO!$H$2:$H$100)*(D651&lt;=RESUMO!$I$2:$I$100)*(M651&gt;=RESUMO!$K$2:$K$100)*(M651&lt;=RESUMO!$L$2:$L$100),
0)), "R$ ", ""))
))))</f>
        <v>0</v>
      </c>
      <c r="P651" s="9"/>
      <c r="Q651" s="10" t="e">
        <f t="shared" si="148"/>
        <v>#DIV/0!</v>
      </c>
      <c r="R651" s="5">
        <f t="shared" si="149"/>
        <v>-3.1587999999999998</v>
      </c>
      <c r="S651" s="5">
        <f t="shared" si="150"/>
        <v>-82.128799999999998</v>
      </c>
      <c r="T651" s="5">
        <f t="shared" si="151"/>
        <v>-3.1587999999999998</v>
      </c>
      <c r="U651" s="5">
        <f t="shared" si="152"/>
        <v>-82.128799999999998</v>
      </c>
    </row>
    <row r="652" spans="1:21" x14ac:dyDescent="0.25">
      <c r="A652" s="11"/>
      <c r="B652" s="6" t="s">
        <v>710</v>
      </c>
      <c r="C652" s="9">
        <v>78.97</v>
      </c>
      <c r="D652" s="6"/>
      <c r="E652" s="8">
        <v>0.04</v>
      </c>
      <c r="F652" s="49">
        <v>0</v>
      </c>
      <c r="G652" s="9">
        <v>0</v>
      </c>
      <c r="H652" s="9"/>
      <c r="I652" s="48"/>
      <c r="J652" s="78" cm="1">
        <f t="array" ref="J652">IF(H652&lt;12.5, H652/2,
IF(H652&lt;29, 6.25,
IF(H652&lt;50, 6.5,
IF(H652&lt;79, 6.75,
VALUE(SUBSTITUTE(
INDEX(RESUMO!$J$2:$J$100, MATCH(1,
(D652&gt;=RESUMO!$H$2:$H$100)*(D652&lt;=RESUMO!$I$2:$I$100)*(H652&gt;=RESUMO!$K$2:$K$100)*(H652&lt;=RESUMO!$L$2:$L$100),
0)), "R$ ", ""))
))))</f>
        <v>0</v>
      </c>
      <c r="K652" s="9"/>
      <c r="L652" s="10" t="e">
        <f t="shared" si="147"/>
        <v>#DIV/0!</v>
      </c>
      <c r="M652" s="7"/>
      <c r="N652" s="48"/>
      <c r="O652" s="78" cm="1">
        <f t="array" ref="O652">IF(M652&lt;12.5, 0,
IF(M652&lt;29, 6.25,
IF(M652&lt;50, 6.5,
IF(M652&lt;79, 6.75,
VALUE(SUBSTITUTE(
INDEX(RESUMO!$J$2:$J$100, MATCH(1,
(D652&gt;=RESUMO!$H$2:$H$100)*(D652&lt;=RESUMO!$I$2:$I$100)*(M652&gt;=RESUMO!$K$2:$K$100)*(M652&lt;=RESUMO!$L$2:$L$100),
0)), "R$ ", ""))
))))</f>
        <v>0</v>
      </c>
      <c r="P652" s="9"/>
      <c r="Q652" s="10" t="e">
        <f t="shared" si="148"/>
        <v>#DIV/0!</v>
      </c>
      <c r="R652" s="5">
        <f t="shared" si="149"/>
        <v>-3.1587999999999998</v>
      </c>
      <c r="S652" s="5">
        <f t="shared" si="150"/>
        <v>-82.128799999999998</v>
      </c>
      <c r="T652" s="5">
        <f t="shared" si="151"/>
        <v>-3.1587999999999998</v>
      </c>
      <c r="U652" s="5">
        <f t="shared" si="152"/>
        <v>-82.128799999999998</v>
      </c>
    </row>
    <row r="653" spans="1:21" x14ac:dyDescent="0.25">
      <c r="A653" s="11"/>
      <c r="B653" s="6" t="s">
        <v>711</v>
      </c>
      <c r="C653" s="9">
        <v>71.260000000000005</v>
      </c>
      <c r="D653" s="6"/>
      <c r="E653" s="8">
        <v>0.04</v>
      </c>
      <c r="F653" s="49">
        <v>0</v>
      </c>
      <c r="G653" s="9">
        <v>0</v>
      </c>
      <c r="H653" s="9"/>
      <c r="I653" s="48"/>
      <c r="J653" s="78" cm="1">
        <f t="array" ref="J653">IF(H653&lt;12.5, H653/2,
IF(H653&lt;29, 6.25,
IF(H653&lt;50, 6.5,
IF(H653&lt;79, 6.75,
VALUE(SUBSTITUTE(
INDEX(RESUMO!$J$2:$J$100, MATCH(1,
(D653&gt;=RESUMO!$H$2:$H$100)*(D653&lt;=RESUMO!$I$2:$I$100)*(H653&gt;=RESUMO!$K$2:$K$100)*(H653&lt;=RESUMO!$L$2:$L$100),
0)), "R$ ", ""))
))))</f>
        <v>0</v>
      </c>
      <c r="K653" s="9"/>
      <c r="L653" s="10" t="e">
        <f t="shared" si="147"/>
        <v>#DIV/0!</v>
      </c>
      <c r="M653" s="7"/>
      <c r="N653" s="48"/>
      <c r="O653" s="78" cm="1">
        <f t="array" ref="O653">IF(M653&lt;12.5, 0,
IF(M653&lt;29, 6.25,
IF(M653&lt;50, 6.5,
IF(M653&lt;79, 6.75,
VALUE(SUBSTITUTE(
INDEX(RESUMO!$J$2:$J$100, MATCH(1,
(D653&gt;=RESUMO!$H$2:$H$100)*(D653&lt;=RESUMO!$I$2:$I$100)*(M653&gt;=RESUMO!$K$2:$K$100)*(M653&lt;=RESUMO!$L$2:$L$100),
0)), "R$ ", ""))
))))</f>
        <v>0</v>
      </c>
      <c r="P653" s="9"/>
      <c r="Q653" s="10" t="e">
        <f t="shared" si="148"/>
        <v>#DIV/0!</v>
      </c>
      <c r="R653" s="5">
        <f t="shared" si="149"/>
        <v>-2.8504</v>
      </c>
      <c r="S653" s="5">
        <f t="shared" si="150"/>
        <v>-74.110399999999998</v>
      </c>
      <c r="T653" s="5">
        <f t="shared" si="151"/>
        <v>-2.8504</v>
      </c>
      <c r="U653" s="5">
        <f t="shared" si="152"/>
        <v>-74.110399999999998</v>
      </c>
    </row>
    <row r="654" spans="1:21" x14ac:dyDescent="0.25">
      <c r="A654" s="11"/>
      <c r="B654" s="6" t="s">
        <v>712</v>
      </c>
      <c r="C654" s="9">
        <v>71.260000000000005</v>
      </c>
      <c r="D654" s="6"/>
      <c r="E654" s="8">
        <v>0.04</v>
      </c>
      <c r="F654" s="49">
        <v>0</v>
      </c>
      <c r="G654" s="9">
        <v>0</v>
      </c>
      <c r="H654" s="9"/>
      <c r="I654" s="48"/>
      <c r="J654" s="78" cm="1">
        <f t="array" ref="J654">IF(H654&lt;12.5, H654/2,
IF(H654&lt;29, 6.25,
IF(H654&lt;50, 6.5,
IF(H654&lt;79, 6.75,
VALUE(SUBSTITUTE(
INDEX(RESUMO!$J$2:$J$100, MATCH(1,
(D654&gt;=RESUMO!$H$2:$H$100)*(D654&lt;=RESUMO!$I$2:$I$100)*(H654&gt;=RESUMO!$K$2:$K$100)*(H654&lt;=RESUMO!$L$2:$L$100),
0)), "R$ ", ""))
))))</f>
        <v>0</v>
      </c>
      <c r="K654" s="9"/>
      <c r="L654" s="10" t="e">
        <f t="shared" si="147"/>
        <v>#DIV/0!</v>
      </c>
      <c r="M654" s="7"/>
      <c r="N654" s="48"/>
      <c r="O654" s="78" cm="1">
        <f t="array" ref="O654">IF(M654&lt;12.5, 0,
IF(M654&lt;29, 6.25,
IF(M654&lt;50, 6.5,
IF(M654&lt;79, 6.75,
VALUE(SUBSTITUTE(
INDEX(RESUMO!$J$2:$J$100, MATCH(1,
(D654&gt;=RESUMO!$H$2:$H$100)*(D654&lt;=RESUMO!$I$2:$I$100)*(M654&gt;=RESUMO!$K$2:$K$100)*(M654&lt;=RESUMO!$L$2:$L$100),
0)), "R$ ", ""))
))))</f>
        <v>0</v>
      </c>
      <c r="P654" s="9"/>
      <c r="Q654" s="10" t="e">
        <f t="shared" si="148"/>
        <v>#DIV/0!</v>
      </c>
      <c r="R654" s="5">
        <f t="shared" si="149"/>
        <v>-2.8504</v>
      </c>
      <c r="S654" s="5">
        <f t="shared" si="150"/>
        <v>-74.110399999999998</v>
      </c>
      <c r="T654" s="5">
        <f t="shared" si="151"/>
        <v>-2.8504</v>
      </c>
      <c r="U654" s="5">
        <f t="shared" si="152"/>
        <v>-74.110399999999998</v>
      </c>
    </row>
    <row r="655" spans="1:21" x14ac:dyDescent="0.25">
      <c r="A655" s="11"/>
      <c r="B655" s="6" t="s">
        <v>713</v>
      </c>
      <c r="C655" s="9">
        <v>55.73</v>
      </c>
      <c r="D655" s="6"/>
      <c r="E655" s="8">
        <v>0.04</v>
      </c>
      <c r="F655" s="49">
        <v>0</v>
      </c>
      <c r="G655" s="9">
        <v>0</v>
      </c>
      <c r="H655" s="9"/>
      <c r="I655" s="48"/>
      <c r="J655" s="78" cm="1">
        <f t="array" ref="J655">IF(H655&lt;12.5, H655/2,
IF(H655&lt;29, 6.25,
IF(H655&lt;50, 6.5,
IF(H655&lt;79, 6.75,
VALUE(SUBSTITUTE(
INDEX(RESUMO!$J$2:$J$100, MATCH(1,
(D655&gt;=RESUMO!$H$2:$H$100)*(D655&lt;=RESUMO!$I$2:$I$100)*(H655&gt;=RESUMO!$K$2:$K$100)*(H655&lt;=RESUMO!$L$2:$L$100),
0)), "R$ ", ""))
))))</f>
        <v>0</v>
      </c>
      <c r="K655" s="9"/>
      <c r="L655" s="10" t="e">
        <f t="shared" si="147"/>
        <v>#DIV/0!</v>
      </c>
      <c r="M655" s="7"/>
      <c r="N655" s="48"/>
      <c r="O655" s="78" cm="1">
        <f t="array" ref="O655">IF(M655&lt;12.5, 0,
IF(M655&lt;29, 6.25,
IF(M655&lt;50, 6.5,
IF(M655&lt;79, 6.75,
VALUE(SUBSTITUTE(
INDEX(RESUMO!$J$2:$J$100, MATCH(1,
(D655&gt;=RESUMO!$H$2:$H$100)*(D655&lt;=RESUMO!$I$2:$I$100)*(M655&gt;=RESUMO!$K$2:$K$100)*(M655&lt;=RESUMO!$L$2:$L$100),
0)), "R$ ", ""))
))))</f>
        <v>0</v>
      </c>
      <c r="P655" s="9"/>
      <c r="Q655" s="10" t="e">
        <f t="shared" si="148"/>
        <v>#DIV/0!</v>
      </c>
      <c r="R655" s="5">
        <f t="shared" si="149"/>
        <v>-2.2292000000000001</v>
      </c>
      <c r="S655" s="5">
        <f t="shared" si="150"/>
        <v>-57.959199999999996</v>
      </c>
      <c r="T655" s="5">
        <f t="shared" si="151"/>
        <v>-2.2292000000000001</v>
      </c>
      <c r="U655" s="5">
        <f t="shared" si="152"/>
        <v>-57.959199999999996</v>
      </c>
    </row>
    <row r="656" spans="1:21" x14ac:dyDescent="0.25">
      <c r="A656" s="11"/>
      <c r="B656" s="6" t="s">
        <v>714</v>
      </c>
      <c r="C656" s="9">
        <v>179.48</v>
      </c>
      <c r="D656" s="6"/>
      <c r="E656" s="8">
        <v>0.04</v>
      </c>
      <c r="F656" s="49">
        <v>0</v>
      </c>
      <c r="G656" s="9">
        <v>0</v>
      </c>
      <c r="H656" s="9"/>
      <c r="I656" s="48"/>
      <c r="J656" s="78" cm="1">
        <f t="array" ref="J656">IF(H656&lt;12.5, H656/2,
IF(H656&lt;29, 6.25,
IF(H656&lt;50, 6.5,
IF(H656&lt;79, 6.75,
VALUE(SUBSTITUTE(
INDEX(RESUMO!$J$2:$J$100, MATCH(1,
(D656&gt;=RESUMO!$H$2:$H$100)*(D656&lt;=RESUMO!$I$2:$I$100)*(H656&gt;=RESUMO!$K$2:$K$100)*(H656&lt;=RESUMO!$L$2:$L$100),
0)), "R$ ", ""))
))))</f>
        <v>0</v>
      </c>
      <c r="K656" s="9"/>
      <c r="L656" s="10" t="e">
        <f t="shared" si="147"/>
        <v>#DIV/0!</v>
      </c>
      <c r="M656" s="7"/>
      <c r="N656" s="48"/>
      <c r="O656" s="78" cm="1">
        <f t="array" ref="O656">IF(M656&lt;12.5, 0,
IF(M656&lt;29, 6.25,
IF(M656&lt;50, 6.5,
IF(M656&lt;79, 6.75,
VALUE(SUBSTITUTE(
INDEX(RESUMO!$J$2:$J$100, MATCH(1,
(D656&gt;=RESUMO!$H$2:$H$100)*(D656&lt;=RESUMO!$I$2:$I$100)*(M656&gt;=RESUMO!$K$2:$K$100)*(M656&lt;=RESUMO!$L$2:$L$100),
0)), "R$ ", ""))
))))</f>
        <v>0</v>
      </c>
      <c r="P656" s="9"/>
      <c r="Q656" s="10" t="e">
        <f t="shared" si="148"/>
        <v>#DIV/0!</v>
      </c>
      <c r="R656" s="5">
        <f t="shared" si="149"/>
        <v>-7.1791999999999998</v>
      </c>
      <c r="S656" s="5">
        <f t="shared" si="150"/>
        <v>-186.6592</v>
      </c>
      <c r="T656" s="5">
        <f t="shared" si="151"/>
        <v>-7.1791999999999998</v>
      </c>
      <c r="U656" s="5">
        <f t="shared" si="152"/>
        <v>-186.6592</v>
      </c>
    </row>
    <row r="657" spans="1:21" x14ac:dyDescent="0.25">
      <c r="A657" s="11"/>
      <c r="B657" s="6" t="s">
        <v>715</v>
      </c>
      <c r="C657" s="9">
        <v>110.15</v>
      </c>
      <c r="D657" s="6"/>
      <c r="E657" s="8">
        <v>0.04</v>
      </c>
      <c r="F657" s="49">
        <v>0</v>
      </c>
      <c r="G657" s="9">
        <v>0</v>
      </c>
      <c r="H657" s="9"/>
      <c r="I657" s="48"/>
      <c r="J657" s="78" cm="1">
        <f t="array" ref="J657">IF(H657&lt;12.5, H657/2,
IF(H657&lt;29, 6.25,
IF(H657&lt;50, 6.5,
IF(H657&lt;79, 6.75,
VALUE(SUBSTITUTE(
INDEX(RESUMO!$J$2:$J$100, MATCH(1,
(D657&gt;=RESUMO!$H$2:$H$100)*(D657&lt;=RESUMO!$I$2:$I$100)*(H657&gt;=RESUMO!$K$2:$K$100)*(H657&lt;=RESUMO!$L$2:$L$100),
0)), "R$ ", ""))
))))</f>
        <v>0</v>
      </c>
      <c r="K657" s="9"/>
      <c r="L657" s="10" t="e">
        <f t="shared" si="147"/>
        <v>#DIV/0!</v>
      </c>
      <c r="M657" s="7"/>
      <c r="N657" s="48"/>
      <c r="O657" s="78" cm="1">
        <f t="array" ref="O657">IF(M657&lt;12.5, 0,
IF(M657&lt;29, 6.25,
IF(M657&lt;50, 6.5,
IF(M657&lt;79, 6.75,
VALUE(SUBSTITUTE(
INDEX(RESUMO!$J$2:$J$100, MATCH(1,
(D657&gt;=RESUMO!$H$2:$H$100)*(D657&lt;=RESUMO!$I$2:$I$100)*(M657&gt;=RESUMO!$K$2:$K$100)*(M657&lt;=RESUMO!$L$2:$L$100),
0)), "R$ ", ""))
))))</f>
        <v>0</v>
      </c>
      <c r="P657" s="9"/>
      <c r="Q657" s="10" t="e">
        <f t="shared" si="148"/>
        <v>#DIV/0!</v>
      </c>
      <c r="R657" s="5">
        <f t="shared" si="149"/>
        <v>-4.4060000000000006</v>
      </c>
      <c r="S657" s="5">
        <f t="shared" si="150"/>
        <v>-114.55600000000001</v>
      </c>
      <c r="T657" s="5">
        <f t="shared" si="151"/>
        <v>-4.4060000000000006</v>
      </c>
      <c r="U657" s="5">
        <f t="shared" si="152"/>
        <v>-114.55600000000001</v>
      </c>
    </row>
    <row r="658" spans="1:21" x14ac:dyDescent="0.25">
      <c r="A658" s="11"/>
      <c r="B658" s="6" t="s">
        <v>716</v>
      </c>
      <c r="C658" s="9">
        <v>123.14</v>
      </c>
      <c r="D658" s="6"/>
      <c r="E658" s="8">
        <v>0.04</v>
      </c>
      <c r="F658" s="49">
        <v>0</v>
      </c>
      <c r="G658" s="9">
        <v>0</v>
      </c>
      <c r="H658" s="9"/>
      <c r="I658" s="48"/>
      <c r="J658" s="78" cm="1">
        <f t="array" ref="J658">IF(H658&lt;12.5, H658/2,
IF(H658&lt;29, 6.25,
IF(H658&lt;50, 6.5,
IF(H658&lt;79, 6.75,
VALUE(SUBSTITUTE(
INDEX(RESUMO!$J$2:$J$100, MATCH(1,
(D658&gt;=RESUMO!$H$2:$H$100)*(D658&lt;=RESUMO!$I$2:$I$100)*(H658&gt;=RESUMO!$K$2:$K$100)*(H658&lt;=RESUMO!$L$2:$L$100),
0)), "R$ ", ""))
))))</f>
        <v>0</v>
      </c>
      <c r="K658" s="9"/>
      <c r="L658" s="10" t="e">
        <f t="shared" si="147"/>
        <v>#DIV/0!</v>
      </c>
      <c r="M658" s="7"/>
      <c r="N658" s="48"/>
      <c r="O658" s="78" cm="1">
        <f t="array" ref="O658">IF(M658&lt;12.5, 0,
IF(M658&lt;29, 6.25,
IF(M658&lt;50, 6.5,
IF(M658&lt;79, 6.75,
VALUE(SUBSTITUTE(
INDEX(RESUMO!$J$2:$J$100, MATCH(1,
(D658&gt;=RESUMO!$H$2:$H$100)*(D658&lt;=RESUMO!$I$2:$I$100)*(M658&gt;=RESUMO!$K$2:$K$100)*(M658&lt;=RESUMO!$L$2:$L$100),
0)), "R$ ", ""))
))))</f>
        <v>0</v>
      </c>
      <c r="P658" s="9"/>
      <c r="Q658" s="10" t="e">
        <f t="shared" si="148"/>
        <v>#DIV/0!</v>
      </c>
      <c r="R658" s="5">
        <f t="shared" si="149"/>
        <v>-4.9256000000000002</v>
      </c>
      <c r="S658" s="5">
        <f t="shared" si="150"/>
        <v>-128.06559999999999</v>
      </c>
      <c r="T658" s="5">
        <f t="shared" si="151"/>
        <v>-4.9256000000000002</v>
      </c>
      <c r="U658" s="5">
        <f t="shared" si="152"/>
        <v>-128.06559999999999</v>
      </c>
    </row>
    <row r="659" spans="1:21" x14ac:dyDescent="0.25">
      <c r="A659" s="11"/>
      <c r="B659" s="6" t="s">
        <v>717</v>
      </c>
      <c r="C659" s="9">
        <v>123.14</v>
      </c>
      <c r="D659" s="6"/>
      <c r="E659" s="8">
        <v>0.04</v>
      </c>
      <c r="F659" s="49">
        <v>0</v>
      </c>
      <c r="G659" s="9">
        <v>0</v>
      </c>
      <c r="H659" s="9"/>
      <c r="I659" s="48"/>
      <c r="J659" s="78" cm="1">
        <f t="array" ref="J659">IF(H659&lt;12.5, H659/2,
IF(H659&lt;29, 6.25,
IF(H659&lt;50, 6.5,
IF(H659&lt;79, 6.75,
VALUE(SUBSTITUTE(
INDEX(RESUMO!$J$2:$J$100, MATCH(1,
(D659&gt;=RESUMO!$H$2:$H$100)*(D659&lt;=RESUMO!$I$2:$I$100)*(H659&gt;=RESUMO!$K$2:$K$100)*(H659&lt;=RESUMO!$L$2:$L$100),
0)), "R$ ", ""))
))))</f>
        <v>0</v>
      </c>
      <c r="K659" s="9"/>
      <c r="L659" s="10" t="e">
        <f t="shared" si="147"/>
        <v>#DIV/0!</v>
      </c>
      <c r="M659" s="7"/>
      <c r="N659" s="48"/>
      <c r="O659" s="78" cm="1">
        <f t="array" ref="O659">IF(M659&lt;12.5, 0,
IF(M659&lt;29, 6.25,
IF(M659&lt;50, 6.5,
IF(M659&lt;79, 6.75,
VALUE(SUBSTITUTE(
INDEX(RESUMO!$J$2:$J$100, MATCH(1,
(D659&gt;=RESUMO!$H$2:$H$100)*(D659&lt;=RESUMO!$I$2:$I$100)*(M659&gt;=RESUMO!$K$2:$K$100)*(M659&lt;=RESUMO!$L$2:$L$100),
0)), "R$ ", ""))
))))</f>
        <v>0</v>
      </c>
      <c r="P659" s="9"/>
      <c r="Q659" s="10" t="e">
        <f t="shared" si="148"/>
        <v>#DIV/0!</v>
      </c>
      <c r="R659" s="5">
        <f t="shared" si="149"/>
        <v>-4.9256000000000002</v>
      </c>
      <c r="S659" s="5">
        <f t="shared" si="150"/>
        <v>-128.06559999999999</v>
      </c>
      <c r="T659" s="5">
        <f t="shared" si="151"/>
        <v>-4.9256000000000002</v>
      </c>
      <c r="U659" s="5">
        <f t="shared" si="152"/>
        <v>-128.06559999999999</v>
      </c>
    </row>
    <row r="660" spans="1:21" x14ac:dyDescent="0.25">
      <c r="A660" s="11"/>
      <c r="B660" s="6" t="s">
        <v>718</v>
      </c>
      <c r="C660" s="9">
        <v>118.8</v>
      </c>
      <c r="D660" s="6"/>
      <c r="E660" s="8">
        <v>0.04</v>
      </c>
      <c r="F660" s="49">
        <v>0</v>
      </c>
      <c r="G660" s="9">
        <v>0</v>
      </c>
      <c r="H660" s="9"/>
      <c r="I660" s="48"/>
      <c r="J660" s="78" cm="1">
        <f t="array" ref="J660">IF(H660&lt;12.5, H660/2,
IF(H660&lt;29, 6.25,
IF(H660&lt;50, 6.5,
IF(H660&lt;79, 6.75,
VALUE(SUBSTITUTE(
INDEX(RESUMO!$J$2:$J$100, MATCH(1,
(D660&gt;=RESUMO!$H$2:$H$100)*(D660&lt;=RESUMO!$I$2:$I$100)*(H660&gt;=RESUMO!$K$2:$K$100)*(H660&lt;=RESUMO!$L$2:$L$100),
0)), "R$ ", ""))
))))</f>
        <v>0</v>
      </c>
      <c r="K660" s="9"/>
      <c r="L660" s="10" t="e">
        <f t="shared" si="147"/>
        <v>#DIV/0!</v>
      </c>
      <c r="M660" s="7"/>
      <c r="N660" s="48"/>
      <c r="O660" s="78" cm="1">
        <f t="array" ref="O660">IF(M660&lt;12.5, 0,
IF(M660&lt;29, 6.25,
IF(M660&lt;50, 6.5,
IF(M660&lt;79, 6.75,
VALUE(SUBSTITUTE(
INDEX(RESUMO!$J$2:$J$100, MATCH(1,
(D660&gt;=RESUMO!$H$2:$H$100)*(D660&lt;=RESUMO!$I$2:$I$100)*(M660&gt;=RESUMO!$K$2:$K$100)*(M660&lt;=RESUMO!$L$2:$L$100),
0)), "R$ ", ""))
))))</f>
        <v>0</v>
      </c>
      <c r="P660" s="9"/>
      <c r="Q660" s="10" t="e">
        <f t="shared" si="148"/>
        <v>#DIV/0!</v>
      </c>
      <c r="R660" s="5">
        <f t="shared" si="149"/>
        <v>-4.7519999999999998</v>
      </c>
      <c r="S660" s="5">
        <f t="shared" si="150"/>
        <v>-123.55199999999999</v>
      </c>
      <c r="T660" s="5">
        <f t="shared" si="151"/>
        <v>-4.7519999999999998</v>
      </c>
      <c r="U660" s="5">
        <f t="shared" si="152"/>
        <v>-123.55199999999999</v>
      </c>
    </row>
    <row r="661" spans="1:21" x14ac:dyDescent="0.25">
      <c r="A661" s="11"/>
      <c r="B661" s="6" t="s">
        <v>719</v>
      </c>
      <c r="C661" s="9">
        <v>118.8</v>
      </c>
      <c r="D661" s="6"/>
      <c r="E661" s="8">
        <v>0.04</v>
      </c>
      <c r="F661" s="49">
        <v>0</v>
      </c>
      <c r="G661" s="9">
        <v>0</v>
      </c>
      <c r="H661" s="9"/>
      <c r="I661" s="48"/>
      <c r="J661" s="78" cm="1">
        <f t="array" ref="J661">IF(H661&lt;12.5, H661/2,
IF(H661&lt;29, 6.25,
IF(H661&lt;50, 6.5,
IF(H661&lt;79, 6.75,
VALUE(SUBSTITUTE(
INDEX(RESUMO!$J$2:$J$100, MATCH(1,
(D661&gt;=RESUMO!$H$2:$H$100)*(D661&lt;=RESUMO!$I$2:$I$100)*(H661&gt;=RESUMO!$K$2:$K$100)*(H661&lt;=RESUMO!$L$2:$L$100),
0)), "R$ ", ""))
))))</f>
        <v>0</v>
      </c>
      <c r="K661" s="9"/>
      <c r="L661" s="10" t="e">
        <f t="shared" si="147"/>
        <v>#DIV/0!</v>
      </c>
      <c r="M661" s="7"/>
      <c r="N661" s="48"/>
      <c r="O661" s="78" cm="1">
        <f t="array" ref="O661">IF(M661&lt;12.5, 0,
IF(M661&lt;29, 6.25,
IF(M661&lt;50, 6.5,
IF(M661&lt;79, 6.75,
VALUE(SUBSTITUTE(
INDEX(RESUMO!$J$2:$J$100, MATCH(1,
(D661&gt;=RESUMO!$H$2:$H$100)*(D661&lt;=RESUMO!$I$2:$I$100)*(M661&gt;=RESUMO!$K$2:$K$100)*(M661&lt;=RESUMO!$L$2:$L$100),
0)), "R$ ", ""))
))))</f>
        <v>0</v>
      </c>
      <c r="P661" s="9"/>
      <c r="Q661" s="10" t="e">
        <f t="shared" si="148"/>
        <v>#DIV/0!</v>
      </c>
      <c r="R661" s="5">
        <f t="shared" si="149"/>
        <v>-4.7519999999999998</v>
      </c>
      <c r="S661" s="5">
        <f t="shared" si="150"/>
        <v>-123.55199999999999</v>
      </c>
      <c r="T661" s="5">
        <f t="shared" si="151"/>
        <v>-4.7519999999999998</v>
      </c>
      <c r="U661" s="5">
        <f t="shared" si="152"/>
        <v>-123.55199999999999</v>
      </c>
    </row>
    <row r="662" spans="1:21" x14ac:dyDescent="0.25">
      <c r="A662" s="11"/>
      <c r="B662" s="6" t="s">
        <v>720</v>
      </c>
      <c r="C662" s="9">
        <v>94.33</v>
      </c>
      <c r="D662" s="6"/>
      <c r="E662" s="8">
        <v>0.04</v>
      </c>
      <c r="F662" s="49">
        <v>0</v>
      </c>
      <c r="G662" s="9">
        <v>0</v>
      </c>
      <c r="H662" s="9"/>
      <c r="I662" s="48"/>
      <c r="J662" s="78" cm="1">
        <f t="array" ref="J662">IF(H662&lt;12.5, H662/2,
IF(H662&lt;29, 6.25,
IF(H662&lt;50, 6.5,
IF(H662&lt;79, 6.75,
VALUE(SUBSTITUTE(
INDEX(RESUMO!$J$2:$J$100, MATCH(1,
(D662&gt;=RESUMO!$H$2:$H$100)*(D662&lt;=RESUMO!$I$2:$I$100)*(H662&gt;=RESUMO!$K$2:$K$100)*(H662&lt;=RESUMO!$L$2:$L$100),
0)), "R$ ", ""))
))))</f>
        <v>0</v>
      </c>
      <c r="K662" s="9"/>
      <c r="L662" s="10" t="e">
        <f t="shared" si="147"/>
        <v>#DIV/0!</v>
      </c>
      <c r="M662" s="7"/>
      <c r="N662" s="48"/>
      <c r="O662" s="78" cm="1">
        <f t="array" ref="O662">IF(M662&lt;12.5, 0,
IF(M662&lt;29, 6.25,
IF(M662&lt;50, 6.5,
IF(M662&lt;79, 6.75,
VALUE(SUBSTITUTE(
INDEX(RESUMO!$J$2:$J$100, MATCH(1,
(D662&gt;=RESUMO!$H$2:$H$100)*(D662&lt;=RESUMO!$I$2:$I$100)*(M662&gt;=RESUMO!$K$2:$K$100)*(M662&lt;=RESUMO!$L$2:$L$100),
0)), "R$ ", ""))
))))</f>
        <v>0</v>
      </c>
      <c r="P662" s="9"/>
      <c r="Q662" s="10" t="e">
        <f t="shared" si="148"/>
        <v>#DIV/0!</v>
      </c>
      <c r="R662" s="5">
        <f t="shared" si="149"/>
        <v>-3.7732000000000001</v>
      </c>
      <c r="S662" s="5">
        <f t="shared" si="150"/>
        <v>-98.103200000000001</v>
      </c>
      <c r="T662" s="5">
        <f t="shared" si="151"/>
        <v>-3.7732000000000001</v>
      </c>
      <c r="U662" s="5">
        <f t="shared" si="152"/>
        <v>-98.103200000000001</v>
      </c>
    </row>
    <row r="663" spans="1:21" x14ac:dyDescent="0.25">
      <c r="A663" s="11"/>
      <c r="B663" s="6" t="s">
        <v>721</v>
      </c>
      <c r="C663" s="9">
        <v>94.33</v>
      </c>
      <c r="D663" s="6"/>
      <c r="E663" s="8">
        <v>0.04</v>
      </c>
      <c r="F663" s="49">
        <v>0</v>
      </c>
      <c r="G663" s="9">
        <v>0</v>
      </c>
      <c r="H663" s="9"/>
      <c r="I663" s="48"/>
      <c r="J663" s="78" cm="1">
        <f t="array" ref="J663">IF(H663&lt;12.5, H663/2,
IF(H663&lt;29, 6.25,
IF(H663&lt;50, 6.5,
IF(H663&lt;79, 6.75,
VALUE(SUBSTITUTE(
INDEX(RESUMO!$J$2:$J$100, MATCH(1,
(D663&gt;=RESUMO!$H$2:$H$100)*(D663&lt;=RESUMO!$I$2:$I$100)*(H663&gt;=RESUMO!$K$2:$K$100)*(H663&lt;=RESUMO!$L$2:$L$100),
0)), "R$ ", ""))
))))</f>
        <v>0</v>
      </c>
      <c r="K663" s="9"/>
      <c r="L663" s="10" t="e">
        <f t="shared" si="147"/>
        <v>#DIV/0!</v>
      </c>
      <c r="M663" s="7"/>
      <c r="N663" s="48"/>
      <c r="O663" s="78" cm="1">
        <f t="array" ref="O663">IF(M663&lt;12.5, 0,
IF(M663&lt;29, 6.25,
IF(M663&lt;50, 6.5,
IF(M663&lt;79, 6.75,
VALUE(SUBSTITUTE(
INDEX(RESUMO!$J$2:$J$100, MATCH(1,
(D663&gt;=RESUMO!$H$2:$H$100)*(D663&lt;=RESUMO!$I$2:$I$100)*(M663&gt;=RESUMO!$K$2:$K$100)*(M663&lt;=RESUMO!$L$2:$L$100),
0)), "R$ ", ""))
))))</f>
        <v>0</v>
      </c>
      <c r="P663" s="9"/>
      <c r="Q663" s="10" t="e">
        <f t="shared" si="148"/>
        <v>#DIV/0!</v>
      </c>
      <c r="R663" s="5">
        <f t="shared" si="149"/>
        <v>-3.7732000000000001</v>
      </c>
      <c r="S663" s="5">
        <f t="shared" si="150"/>
        <v>-98.103200000000001</v>
      </c>
      <c r="T663" s="5">
        <f t="shared" si="151"/>
        <v>-3.7732000000000001</v>
      </c>
      <c r="U663" s="5">
        <f t="shared" si="152"/>
        <v>-98.103200000000001</v>
      </c>
    </row>
    <row r="664" spans="1:21" x14ac:dyDescent="0.25">
      <c r="A664" s="11"/>
      <c r="B664" s="6" t="s">
        <v>722</v>
      </c>
      <c r="C664" s="9">
        <v>319.77999999999997</v>
      </c>
      <c r="D664" s="6"/>
      <c r="E664" s="8">
        <v>0.04</v>
      </c>
      <c r="F664" s="49">
        <v>0</v>
      </c>
      <c r="G664" s="9">
        <v>0</v>
      </c>
      <c r="H664" s="9"/>
      <c r="I664" s="48"/>
      <c r="J664" s="78" cm="1">
        <f t="array" ref="J664">IF(H664&lt;12.5, H664/2,
IF(H664&lt;29, 6.25,
IF(H664&lt;50, 6.5,
IF(H664&lt;79, 6.75,
VALUE(SUBSTITUTE(
INDEX(RESUMO!$J$2:$J$100, MATCH(1,
(D664&gt;=RESUMO!$H$2:$H$100)*(D664&lt;=RESUMO!$I$2:$I$100)*(H664&gt;=RESUMO!$K$2:$K$100)*(H664&lt;=RESUMO!$L$2:$L$100),
0)), "R$ ", ""))
))))</f>
        <v>0</v>
      </c>
      <c r="K664" s="9"/>
      <c r="L664" s="10" t="e">
        <f t="shared" si="147"/>
        <v>#DIV/0!</v>
      </c>
      <c r="M664" s="7"/>
      <c r="N664" s="48"/>
      <c r="O664" s="78" cm="1">
        <f t="array" ref="O664">IF(M664&lt;12.5, 0,
IF(M664&lt;29, 6.25,
IF(M664&lt;50, 6.5,
IF(M664&lt;79, 6.75,
VALUE(SUBSTITUTE(
INDEX(RESUMO!$J$2:$J$100, MATCH(1,
(D664&gt;=RESUMO!$H$2:$H$100)*(D664&lt;=RESUMO!$I$2:$I$100)*(M664&gt;=RESUMO!$K$2:$K$100)*(M664&lt;=RESUMO!$L$2:$L$100),
0)), "R$ ", ""))
))))</f>
        <v>0</v>
      </c>
      <c r="P664" s="9"/>
      <c r="Q664" s="10" t="e">
        <f t="shared" si="148"/>
        <v>#DIV/0!</v>
      </c>
      <c r="R664" s="5">
        <f t="shared" si="149"/>
        <v>-12.7912</v>
      </c>
      <c r="S664" s="5">
        <f t="shared" si="150"/>
        <v>-332.57119999999998</v>
      </c>
      <c r="T664" s="5">
        <f t="shared" si="151"/>
        <v>-12.7912</v>
      </c>
      <c r="U664" s="5">
        <f t="shared" si="152"/>
        <v>-332.57119999999998</v>
      </c>
    </row>
    <row r="665" spans="1:21" x14ac:dyDescent="0.25">
      <c r="A665" s="11"/>
      <c r="B665" s="6" t="s">
        <v>723</v>
      </c>
      <c r="C665" s="9">
        <v>190.99</v>
      </c>
      <c r="D665" s="6"/>
      <c r="E665" s="8">
        <v>0.04</v>
      </c>
      <c r="F665" s="49">
        <v>0</v>
      </c>
      <c r="G665" s="9">
        <v>0</v>
      </c>
      <c r="H665" s="9"/>
      <c r="I665" s="48"/>
      <c r="J665" s="78" cm="1">
        <f t="array" ref="J665">IF(H665&lt;12.5, H665/2,
IF(H665&lt;29, 6.25,
IF(H665&lt;50, 6.5,
IF(H665&lt;79, 6.75,
VALUE(SUBSTITUTE(
INDEX(RESUMO!$J$2:$J$100, MATCH(1,
(D665&gt;=RESUMO!$H$2:$H$100)*(D665&lt;=RESUMO!$I$2:$I$100)*(H665&gt;=RESUMO!$K$2:$K$100)*(H665&lt;=RESUMO!$L$2:$L$100),
0)), "R$ ", ""))
))))</f>
        <v>0</v>
      </c>
      <c r="K665" s="9"/>
      <c r="L665" s="10" t="e">
        <f t="shared" si="147"/>
        <v>#DIV/0!</v>
      </c>
      <c r="M665" s="7"/>
      <c r="N665" s="48"/>
      <c r="O665" s="78" cm="1">
        <f t="array" ref="O665">IF(M665&lt;12.5, 0,
IF(M665&lt;29, 6.25,
IF(M665&lt;50, 6.5,
IF(M665&lt;79, 6.75,
VALUE(SUBSTITUTE(
INDEX(RESUMO!$J$2:$J$100, MATCH(1,
(D665&gt;=RESUMO!$H$2:$H$100)*(D665&lt;=RESUMO!$I$2:$I$100)*(M665&gt;=RESUMO!$K$2:$K$100)*(M665&lt;=RESUMO!$L$2:$L$100),
0)), "R$ ", ""))
))))</f>
        <v>0</v>
      </c>
      <c r="P665" s="9"/>
      <c r="Q665" s="10" t="e">
        <f t="shared" si="148"/>
        <v>#DIV/0!</v>
      </c>
      <c r="R665" s="5">
        <f t="shared" si="149"/>
        <v>-7.6396000000000006</v>
      </c>
      <c r="S665" s="5">
        <f t="shared" si="150"/>
        <v>-198.62960000000001</v>
      </c>
      <c r="T665" s="5">
        <f t="shared" si="151"/>
        <v>-7.6396000000000006</v>
      </c>
      <c r="U665" s="5">
        <f t="shared" si="152"/>
        <v>-198.62960000000001</v>
      </c>
    </row>
    <row r="666" spans="1:21" x14ac:dyDescent="0.25">
      <c r="A666" s="11"/>
      <c r="B666" s="6" t="s">
        <v>724</v>
      </c>
      <c r="C666" s="9">
        <v>190.99</v>
      </c>
      <c r="D666" s="6"/>
      <c r="E666" s="8">
        <v>0.04</v>
      </c>
      <c r="F666" s="49">
        <v>0</v>
      </c>
      <c r="G666" s="9">
        <v>0</v>
      </c>
      <c r="H666" s="9"/>
      <c r="I666" s="48"/>
      <c r="J666" s="78" cm="1">
        <f t="array" ref="J666">IF(H666&lt;12.5, H666/2,
IF(H666&lt;29, 6.25,
IF(H666&lt;50, 6.5,
IF(H666&lt;79, 6.75,
VALUE(SUBSTITUTE(
INDEX(RESUMO!$J$2:$J$100, MATCH(1,
(D666&gt;=RESUMO!$H$2:$H$100)*(D666&lt;=RESUMO!$I$2:$I$100)*(H666&gt;=RESUMO!$K$2:$K$100)*(H666&lt;=RESUMO!$L$2:$L$100),
0)), "R$ ", ""))
))))</f>
        <v>0</v>
      </c>
      <c r="K666" s="9"/>
      <c r="L666" s="10" t="e">
        <f t="shared" si="147"/>
        <v>#DIV/0!</v>
      </c>
      <c r="M666" s="7"/>
      <c r="N666" s="48"/>
      <c r="O666" s="78" cm="1">
        <f t="array" ref="O666">IF(M666&lt;12.5, 0,
IF(M666&lt;29, 6.25,
IF(M666&lt;50, 6.5,
IF(M666&lt;79, 6.75,
VALUE(SUBSTITUTE(
INDEX(RESUMO!$J$2:$J$100, MATCH(1,
(D666&gt;=RESUMO!$H$2:$H$100)*(D666&lt;=RESUMO!$I$2:$I$100)*(M666&gt;=RESUMO!$K$2:$K$100)*(M666&lt;=RESUMO!$L$2:$L$100),
0)), "R$ ", ""))
))))</f>
        <v>0</v>
      </c>
      <c r="P666" s="9"/>
      <c r="Q666" s="10" t="e">
        <f t="shared" si="148"/>
        <v>#DIV/0!</v>
      </c>
      <c r="R666" s="5">
        <f t="shared" si="149"/>
        <v>-7.6396000000000006</v>
      </c>
      <c r="S666" s="5">
        <f t="shared" si="150"/>
        <v>-198.62960000000001</v>
      </c>
      <c r="T666" s="5">
        <f t="shared" si="151"/>
        <v>-7.6396000000000006</v>
      </c>
      <c r="U666" s="5">
        <f t="shared" si="152"/>
        <v>-198.62960000000001</v>
      </c>
    </row>
    <row r="667" spans="1:21" x14ac:dyDescent="0.25">
      <c r="A667" s="11"/>
      <c r="B667" s="6" t="s">
        <v>725</v>
      </c>
      <c r="C667" s="9">
        <v>132.30000000000001</v>
      </c>
      <c r="D667" s="6"/>
      <c r="E667" s="8">
        <v>0.04</v>
      </c>
      <c r="F667" s="49">
        <v>0</v>
      </c>
      <c r="G667" s="9">
        <v>0</v>
      </c>
      <c r="H667" s="9"/>
      <c r="I667" s="48"/>
      <c r="J667" s="78" cm="1">
        <f t="array" ref="J667">IF(H667&lt;12.5, H667/2,
IF(H667&lt;29, 6.25,
IF(H667&lt;50, 6.5,
IF(H667&lt;79, 6.75,
VALUE(SUBSTITUTE(
INDEX(RESUMO!$J$2:$J$100, MATCH(1,
(D667&gt;=RESUMO!$H$2:$H$100)*(D667&lt;=RESUMO!$I$2:$I$100)*(H667&gt;=RESUMO!$K$2:$K$100)*(H667&lt;=RESUMO!$L$2:$L$100),
0)), "R$ ", ""))
))))</f>
        <v>0</v>
      </c>
      <c r="K667" s="9"/>
      <c r="L667" s="10" t="e">
        <f t="shared" si="147"/>
        <v>#DIV/0!</v>
      </c>
      <c r="M667" s="7"/>
      <c r="N667" s="48"/>
      <c r="O667" s="78" cm="1">
        <f t="array" ref="O667">IF(M667&lt;12.5, 0,
IF(M667&lt;29, 6.25,
IF(M667&lt;50, 6.5,
IF(M667&lt;79, 6.75,
VALUE(SUBSTITUTE(
INDEX(RESUMO!$J$2:$J$100, MATCH(1,
(D667&gt;=RESUMO!$H$2:$H$100)*(D667&lt;=RESUMO!$I$2:$I$100)*(M667&gt;=RESUMO!$K$2:$K$100)*(M667&lt;=RESUMO!$L$2:$L$100),
0)), "R$ ", ""))
))))</f>
        <v>0</v>
      </c>
      <c r="P667" s="9"/>
      <c r="Q667" s="10" t="e">
        <f t="shared" si="148"/>
        <v>#DIV/0!</v>
      </c>
      <c r="R667" s="5">
        <f t="shared" si="149"/>
        <v>-5.2920000000000007</v>
      </c>
      <c r="S667" s="5">
        <f t="shared" si="150"/>
        <v>-137.59200000000001</v>
      </c>
      <c r="T667" s="5">
        <f t="shared" si="151"/>
        <v>-5.2920000000000007</v>
      </c>
      <c r="U667" s="5">
        <f t="shared" si="152"/>
        <v>-137.59200000000001</v>
      </c>
    </row>
    <row r="668" spans="1:21" x14ac:dyDescent="0.25">
      <c r="A668" s="11"/>
      <c r="B668" s="6" t="s">
        <v>726</v>
      </c>
      <c r="C668" s="9">
        <v>132.30000000000001</v>
      </c>
      <c r="D668" s="6"/>
      <c r="E668" s="8">
        <v>0.04</v>
      </c>
      <c r="F668" s="49">
        <v>0</v>
      </c>
      <c r="G668" s="9">
        <v>0</v>
      </c>
      <c r="H668" s="9"/>
      <c r="I668" s="48"/>
      <c r="J668" s="78" cm="1">
        <f t="array" ref="J668">IF(H668&lt;12.5, H668/2,
IF(H668&lt;29, 6.25,
IF(H668&lt;50, 6.5,
IF(H668&lt;79, 6.75,
VALUE(SUBSTITUTE(
INDEX(RESUMO!$J$2:$J$100, MATCH(1,
(D668&gt;=RESUMO!$H$2:$H$100)*(D668&lt;=RESUMO!$I$2:$I$100)*(H668&gt;=RESUMO!$K$2:$K$100)*(H668&lt;=RESUMO!$L$2:$L$100),
0)), "R$ ", ""))
))))</f>
        <v>0</v>
      </c>
      <c r="K668" s="9"/>
      <c r="L668" s="10" t="e">
        <f t="shared" si="141"/>
        <v>#DIV/0!</v>
      </c>
      <c r="M668" s="7"/>
      <c r="N668" s="48"/>
      <c r="O668" s="78" cm="1">
        <f t="array" ref="O668">IF(M668&lt;12.5, 0,
IF(M668&lt;29, 6.25,
IF(M668&lt;50, 6.5,
IF(M668&lt;79, 6.75,
VALUE(SUBSTITUTE(
INDEX(RESUMO!$J$2:$J$100, MATCH(1,
(D668&gt;=RESUMO!$H$2:$H$100)*(D668&lt;=RESUMO!$I$2:$I$100)*(M668&gt;=RESUMO!$K$2:$K$100)*(M668&lt;=RESUMO!$L$2:$L$100),
0)), "R$ ", ""))
))))</f>
        <v>0</v>
      </c>
      <c r="P668" s="9"/>
      <c r="Q668" s="10" t="e">
        <f t="shared" si="142"/>
        <v>#DIV/0!</v>
      </c>
      <c r="R668" s="5">
        <f t="shared" si="143"/>
        <v>-5.2920000000000007</v>
      </c>
      <c r="S668" s="5">
        <f t="shared" si="144"/>
        <v>-137.59200000000001</v>
      </c>
      <c r="T668" s="5">
        <f t="shared" si="145"/>
        <v>-5.2920000000000007</v>
      </c>
      <c r="U668" s="5">
        <f t="shared" si="146"/>
        <v>-137.59200000000001</v>
      </c>
    </row>
    <row r="669" spans="1:21" x14ac:dyDescent="0.25">
      <c r="A669" s="11"/>
      <c r="B669" s="6" t="s">
        <v>727</v>
      </c>
      <c r="C669" s="9">
        <v>100.28</v>
      </c>
      <c r="D669" s="6"/>
      <c r="E669" s="8">
        <v>0.04</v>
      </c>
      <c r="F669" s="49">
        <v>0</v>
      </c>
      <c r="G669" s="9">
        <v>0</v>
      </c>
      <c r="H669" s="9"/>
      <c r="I669" s="48"/>
      <c r="J669" s="78" cm="1">
        <f t="array" ref="J669">IF(H669&lt;12.5, H669/2,
IF(H669&lt;29, 6.25,
IF(H669&lt;50, 6.5,
IF(H669&lt;79, 6.75,
VALUE(SUBSTITUTE(
INDEX(RESUMO!$J$2:$J$100, MATCH(1,
(D669&gt;=RESUMO!$H$2:$H$100)*(D669&lt;=RESUMO!$I$2:$I$100)*(H669&gt;=RESUMO!$K$2:$K$100)*(H669&lt;=RESUMO!$L$2:$L$100),
0)), "R$ ", ""))
))))</f>
        <v>0</v>
      </c>
      <c r="K669" s="9"/>
      <c r="L669" s="10" t="e">
        <f t="shared" ref="L669:L714" si="153">S669/H669</f>
        <v>#DIV/0!</v>
      </c>
      <c r="M669" s="7"/>
      <c r="N669" s="48"/>
      <c r="O669" s="78" cm="1">
        <f t="array" ref="O669">IF(M669&lt;12.5, 0,
IF(M669&lt;29, 6.25,
IF(M669&lt;50, 6.5,
IF(M669&lt;79, 6.75,
VALUE(SUBSTITUTE(
INDEX(RESUMO!$J$2:$J$100, MATCH(1,
(D669&gt;=RESUMO!$H$2:$H$100)*(D669&lt;=RESUMO!$I$2:$I$100)*(M669&gt;=RESUMO!$K$2:$K$100)*(M669&lt;=RESUMO!$L$2:$L$100),
0)), "R$ ", ""))
))))</f>
        <v>0</v>
      </c>
      <c r="P669" s="9"/>
      <c r="Q669" s="10" t="e">
        <f t="shared" ref="Q669:Q714" si="154">U669/M669</f>
        <v>#DIV/0!</v>
      </c>
      <c r="R669" s="5">
        <f t="shared" ref="R669:R714" si="155">(H669-(H669*I669)-J669-(C669*E669)+K669)</f>
        <v>-4.0112000000000005</v>
      </c>
      <c r="S669" s="5">
        <f t="shared" ref="S669:S714" si="156">R669-(C669-F669)</f>
        <v>-104.2912</v>
      </c>
      <c r="T669" s="5">
        <f t="shared" ref="T669:T714" si="157">(M669-(M669*N669)-O669-(C669*E669)+P669)</f>
        <v>-4.0112000000000005</v>
      </c>
      <c r="U669" s="5">
        <f t="shared" ref="U669:U714" si="158">T669-(C669-F669)</f>
        <v>-104.2912</v>
      </c>
    </row>
    <row r="670" spans="1:21" x14ac:dyDescent="0.25">
      <c r="A670" s="11"/>
      <c r="B670" s="6" t="s">
        <v>728</v>
      </c>
      <c r="C670" s="9">
        <v>100.28</v>
      </c>
      <c r="D670" s="6"/>
      <c r="E670" s="8">
        <v>0.04</v>
      </c>
      <c r="F670" s="49">
        <v>0</v>
      </c>
      <c r="G670" s="9">
        <v>0</v>
      </c>
      <c r="H670" s="9"/>
      <c r="I670" s="48"/>
      <c r="J670" s="78" cm="1">
        <f t="array" ref="J670">IF(H670&lt;12.5, H670/2,
IF(H670&lt;29, 6.25,
IF(H670&lt;50, 6.5,
IF(H670&lt;79, 6.75,
VALUE(SUBSTITUTE(
INDEX(RESUMO!$J$2:$J$100, MATCH(1,
(D670&gt;=RESUMO!$H$2:$H$100)*(D670&lt;=RESUMO!$I$2:$I$100)*(H670&gt;=RESUMO!$K$2:$K$100)*(H670&lt;=RESUMO!$L$2:$L$100),
0)), "R$ ", ""))
))))</f>
        <v>0</v>
      </c>
      <c r="K670" s="9"/>
      <c r="L670" s="10" t="e">
        <f t="shared" si="153"/>
        <v>#DIV/0!</v>
      </c>
      <c r="M670" s="7"/>
      <c r="N670" s="48"/>
      <c r="O670" s="78" cm="1">
        <f t="array" ref="O670">IF(M670&lt;12.5, 0,
IF(M670&lt;29, 6.25,
IF(M670&lt;50, 6.5,
IF(M670&lt;79, 6.75,
VALUE(SUBSTITUTE(
INDEX(RESUMO!$J$2:$J$100, MATCH(1,
(D670&gt;=RESUMO!$H$2:$H$100)*(D670&lt;=RESUMO!$I$2:$I$100)*(M670&gt;=RESUMO!$K$2:$K$100)*(M670&lt;=RESUMO!$L$2:$L$100),
0)), "R$ ", ""))
))))</f>
        <v>0</v>
      </c>
      <c r="P670" s="9"/>
      <c r="Q670" s="10" t="e">
        <f t="shared" si="154"/>
        <v>#DIV/0!</v>
      </c>
      <c r="R670" s="5">
        <f t="shared" si="155"/>
        <v>-4.0112000000000005</v>
      </c>
      <c r="S670" s="5">
        <f t="shared" si="156"/>
        <v>-104.2912</v>
      </c>
      <c r="T670" s="5">
        <f t="shared" si="157"/>
        <v>-4.0112000000000005</v>
      </c>
      <c r="U670" s="5">
        <f t="shared" si="158"/>
        <v>-104.2912</v>
      </c>
    </row>
    <row r="671" spans="1:21" x14ac:dyDescent="0.25">
      <c r="A671" s="11"/>
      <c r="B671" s="6" t="s">
        <v>729</v>
      </c>
      <c r="C671" s="9">
        <v>136.6</v>
      </c>
      <c r="D671" s="6"/>
      <c r="E671" s="8">
        <v>0.04</v>
      </c>
      <c r="F671" s="49">
        <v>0</v>
      </c>
      <c r="G671" s="9">
        <v>0</v>
      </c>
      <c r="H671" s="9"/>
      <c r="I671" s="48"/>
      <c r="J671" s="78" cm="1">
        <f t="array" ref="J671">IF(H671&lt;12.5, H671/2,
IF(H671&lt;29, 6.25,
IF(H671&lt;50, 6.5,
IF(H671&lt;79, 6.75,
VALUE(SUBSTITUTE(
INDEX(RESUMO!$J$2:$J$100, MATCH(1,
(D671&gt;=RESUMO!$H$2:$H$100)*(D671&lt;=RESUMO!$I$2:$I$100)*(H671&gt;=RESUMO!$K$2:$K$100)*(H671&lt;=RESUMO!$L$2:$L$100),
0)), "R$ ", ""))
))))</f>
        <v>0</v>
      </c>
      <c r="K671" s="9"/>
      <c r="L671" s="10" t="e">
        <f t="shared" si="153"/>
        <v>#DIV/0!</v>
      </c>
      <c r="M671" s="7"/>
      <c r="N671" s="48"/>
      <c r="O671" s="78" cm="1">
        <f t="array" ref="O671">IF(M671&lt;12.5, 0,
IF(M671&lt;29, 6.25,
IF(M671&lt;50, 6.5,
IF(M671&lt;79, 6.75,
VALUE(SUBSTITUTE(
INDEX(RESUMO!$J$2:$J$100, MATCH(1,
(D671&gt;=RESUMO!$H$2:$H$100)*(D671&lt;=RESUMO!$I$2:$I$100)*(M671&gt;=RESUMO!$K$2:$K$100)*(M671&lt;=RESUMO!$L$2:$L$100),
0)), "R$ ", ""))
))))</f>
        <v>0</v>
      </c>
      <c r="P671" s="9"/>
      <c r="Q671" s="10" t="e">
        <f t="shared" si="154"/>
        <v>#DIV/0!</v>
      </c>
      <c r="R671" s="5">
        <f t="shared" si="155"/>
        <v>-5.4639999999999995</v>
      </c>
      <c r="S671" s="5">
        <f t="shared" si="156"/>
        <v>-142.06399999999999</v>
      </c>
      <c r="T671" s="5">
        <f t="shared" si="157"/>
        <v>-5.4639999999999995</v>
      </c>
      <c r="U671" s="5">
        <f t="shared" si="158"/>
        <v>-142.06399999999999</v>
      </c>
    </row>
    <row r="672" spans="1:21" x14ac:dyDescent="0.25">
      <c r="A672" s="11"/>
      <c r="B672" s="6" t="s">
        <v>730</v>
      </c>
      <c r="C672" s="9">
        <v>136.6</v>
      </c>
      <c r="D672" s="6"/>
      <c r="E672" s="8">
        <v>0.04</v>
      </c>
      <c r="F672" s="49">
        <v>0</v>
      </c>
      <c r="G672" s="9">
        <v>0</v>
      </c>
      <c r="H672" s="9"/>
      <c r="I672" s="48"/>
      <c r="J672" s="78" cm="1">
        <f t="array" ref="J672">IF(H672&lt;12.5, H672/2,
IF(H672&lt;29, 6.25,
IF(H672&lt;50, 6.5,
IF(H672&lt;79, 6.75,
VALUE(SUBSTITUTE(
INDEX(RESUMO!$J$2:$J$100, MATCH(1,
(D672&gt;=RESUMO!$H$2:$H$100)*(D672&lt;=RESUMO!$I$2:$I$100)*(H672&gt;=RESUMO!$K$2:$K$100)*(H672&lt;=RESUMO!$L$2:$L$100),
0)), "R$ ", ""))
))))</f>
        <v>0</v>
      </c>
      <c r="K672" s="9"/>
      <c r="L672" s="10" t="e">
        <f t="shared" si="153"/>
        <v>#DIV/0!</v>
      </c>
      <c r="M672" s="7"/>
      <c r="N672" s="48"/>
      <c r="O672" s="78" cm="1">
        <f t="array" ref="O672">IF(M672&lt;12.5, 0,
IF(M672&lt;29, 6.25,
IF(M672&lt;50, 6.5,
IF(M672&lt;79, 6.75,
VALUE(SUBSTITUTE(
INDEX(RESUMO!$J$2:$J$100, MATCH(1,
(D672&gt;=RESUMO!$H$2:$H$100)*(D672&lt;=RESUMO!$I$2:$I$100)*(M672&gt;=RESUMO!$K$2:$K$100)*(M672&lt;=RESUMO!$L$2:$L$100),
0)), "R$ ", ""))
))))</f>
        <v>0</v>
      </c>
      <c r="P672" s="9"/>
      <c r="Q672" s="10" t="e">
        <f t="shared" si="154"/>
        <v>#DIV/0!</v>
      </c>
      <c r="R672" s="5">
        <f t="shared" si="155"/>
        <v>-5.4639999999999995</v>
      </c>
      <c r="S672" s="5">
        <f t="shared" si="156"/>
        <v>-142.06399999999999</v>
      </c>
      <c r="T672" s="5">
        <f t="shared" si="157"/>
        <v>-5.4639999999999995</v>
      </c>
      <c r="U672" s="5">
        <f t="shared" si="158"/>
        <v>-142.06399999999999</v>
      </c>
    </row>
    <row r="673" spans="1:21" x14ac:dyDescent="0.25">
      <c r="A673" s="11"/>
      <c r="B673" s="6" t="s">
        <v>731</v>
      </c>
      <c r="C673" s="9">
        <v>140.85</v>
      </c>
      <c r="D673" s="6"/>
      <c r="E673" s="8">
        <v>0.04</v>
      </c>
      <c r="F673" s="49">
        <v>0</v>
      </c>
      <c r="G673" s="9">
        <v>0</v>
      </c>
      <c r="H673" s="9"/>
      <c r="I673" s="48"/>
      <c r="J673" s="78" cm="1">
        <f t="array" ref="J673">IF(H673&lt;12.5, H673/2,
IF(H673&lt;29, 6.25,
IF(H673&lt;50, 6.5,
IF(H673&lt;79, 6.75,
VALUE(SUBSTITUTE(
INDEX(RESUMO!$J$2:$J$100, MATCH(1,
(D673&gt;=RESUMO!$H$2:$H$100)*(D673&lt;=RESUMO!$I$2:$I$100)*(H673&gt;=RESUMO!$K$2:$K$100)*(H673&lt;=RESUMO!$L$2:$L$100),
0)), "R$ ", ""))
))))</f>
        <v>0</v>
      </c>
      <c r="K673" s="9"/>
      <c r="L673" s="10" t="e">
        <f t="shared" si="153"/>
        <v>#DIV/0!</v>
      </c>
      <c r="M673" s="7"/>
      <c r="N673" s="48"/>
      <c r="O673" s="78" cm="1">
        <f t="array" ref="O673">IF(M673&lt;12.5, 0,
IF(M673&lt;29, 6.25,
IF(M673&lt;50, 6.5,
IF(M673&lt;79, 6.75,
VALUE(SUBSTITUTE(
INDEX(RESUMO!$J$2:$J$100, MATCH(1,
(D673&gt;=RESUMO!$H$2:$H$100)*(D673&lt;=RESUMO!$I$2:$I$100)*(M673&gt;=RESUMO!$K$2:$K$100)*(M673&lt;=RESUMO!$L$2:$L$100),
0)), "R$ ", ""))
))))</f>
        <v>0</v>
      </c>
      <c r="P673" s="9"/>
      <c r="Q673" s="10" t="e">
        <f t="shared" si="154"/>
        <v>#DIV/0!</v>
      </c>
      <c r="R673" s="5">
        <f t="shared" si="155"/>
        <v>-5.6339999999999995</v>
      </c>
      <c r="S673" s="5">
        <f t="shared" si="156"/>
        <v>-146.48399999999998</v>
      </c>
      <c r="T673" s="5">
        <f t="shared" si="157"/>
        <v>-5.6339999999999995</v>
      </c>
      <c r="U673" s="5">
        <f t="shared" si="158"/>
        <v>-146.48399999999998</v>
      </c>
    </row>
    <row r="674" spans="1:21" x14ac:dyDescent="0.25">
      <c r="A674" s="11"/>
      <c r="B674" s="6" t="s">
        <v>732</v>
      </c>
      <c r="C674" s="9">
        <v>231.21</v>
      </c>
      <c r="D674" s="6"/>
      <c r="E674" s="8">
        <v>0.04</v>
      </c>
      <c r="F674" s="49">
        <v>0</v>
      </c>
      <c r="G674" s="9">
        <v>0</v>
      </c>
      <c r="H674" s="9"/>
      <c r="I674" s="48"/>
      <c r="J674" s="78" cm="1">
        <f t="array" ref="J674">IF(H674&lt;12.5, H674/2,
IF(H674&lt;29, 6.25,
IF(H674&lt;50, 6.5,
IF(H674&lt;79, 6.75,
VALUE(SUBSTITUTE(
INDEX(RESUMO!$J$2:$J$100, MATCH(1,
(D674&gt;=RESUMO!$H$2:$H$100)*(D674&lt;=RESUMO!$I$2:$I$100)*(H674&gt;=RESUMO!$K$2:$K$100)*(H674&lt;=RESUMO!$L$2:$L$100),
0)), "R$ ", ""))
))))</f>
        <v>0</v>
      </c>
      <c r="K674" s="9"/>
      <c r="L674" s="10" t="e">
        <f t="shared" si="153"/>
        <v>#DIV/0!</v>
      </c>
      <c r="M674" s="7"/>
      <c r="N674" s="48"/>
      <c r="O674" s="78" cm="1">
        <f t="array" ref="O674">IF(M674&lt;12.5, 0,
IF(M674&lt;29, 6.25,
IF(M674&lt;50, 6.5,
IF(M674&lt;79, 6.75,
VALUE(SUBSTITUTE(
INDEX(RESUMO!$J$2:$J$100, MATCH(1,
(D674&gt;=RESUMO!$H$2:$H$100)*(D674&lt;=RESUMO!$I$2:$I$100)*(M674&gt;=RESUMO!$K$2:$K$100)*(M674&lt;=RESUMO!$L$2:$L$100),
0)), "R$ ", ""))
))))</f>
        <v>0</v>
      </c>
      <c r="P674" s="9"/>
      <c r="Q674" s="10" t="e">
        <f t="shared" si="154"/>
        <v>#DIV/0!</v>
      </c>
      <c r="R674" s="5">
        <f t="shared" si="155"/>
        <v>-9.2484000000000002</v>
      </c>
      <c r="S674" s="5">
        <f t="shared" si="156"/>
        <v>-240.45840000000001</v>
      </c>
      <c r="T674" s="5">
        <f t="shared" si="157"/>
        <v>-9.2484000000000002</v>
      </c>
      <c r="U674" s="5">
        <f t="shared" si="158"/>
        <v>-240.45840000000001</v>
      </c>
    </row>
    <row r="675" spans="1:21" x14ac:dyDescent="0.25">
      <c r="A675" s="11"/>
      <c r="B675" s="6" t="s">
        <v>733</v>
      </c>
      <c r="C675" s="9">
        <v>110.06</v>
      </c>
      <c r="D675" s="6"/>
      <c r="E675" s="8">
        <v>0.04</v>
      </c>
      <c r="F675" s="49">
        <v>0</v>
      </c>
      <c r="G675" s="9">
        <v>0</v>
      </c>
      <c r="H675" s="9"/>
      <c r="I675" s="48"/>
      <c r="J675" s="78" cm="1">
        <f t="array" ref="J675">IF(H675&lt;12.5, H675/2,
IF(H675&lt;29, 6.25,
IF(H675&lt;50, 6.5,
IF(H675&lt;79, 6.75,
VALUE(SUBSTITUTE(
INDEX(RESUMO!$J$2:$J$100, MATCH(1,
(D675&gt;=RESUMO!$H$2:$H$100)*(D675&lt;=RESUMO!$I$2:$I$100)*(H675&gt;=RESUMO!$K$2:$K$100)*(H675&lt;=RESUMO!$L$2:$L$100),
0)), "R$ ", ""))
))))</f>
        <v>0</v>
      </c>
      <c r="K675" s="9"/>
      <c r="L675" s="10" t="e">
        <f t="shared" si="153"/>
        <v>#DIV/0!</v>
      </c>
      <c r="M675" s="7"/>
      <c r="N675" s="48"/>
      <c r="O675" s="78" cm="1">
        <f t="array" ref="O675">IF(M675&lt;12.5, 0,
IF(M675&lt;29, 6.25,
IF(M675&lt;50, 6.5,
IF(M675&lt;79, 6.75,
VALUE(SUBSTITUTE(
INDEX(RESUMO!$J$2:$J$100, MATCH(1,
(D675&gt;=RESUMO!$H$2:$H$100)*(D675&lt;=RESUMO!$I$2:$I$100)*(M675&gt;=RESUMO!$K$2:$K$100)*(M675&lt;=RESUMO!$L$2:$L$100),
0)), "R$ ", ""))
))))</f>
        <v>0</v>
      </c>
      <c r="P675" s="9"/>
      <c r="Q675" s="10" t="e">
        <f t="shared" si="154"/>
        <v>#DIV/0!</v>
      </c>
      <c r="R675" s="5">
        <f t="shared" si="155"/>
        <v>-4.4024000000000001</v>
      </c>
      <c r="S675" s="5">
        <f t="shared" si="156"/>
        <v>-114.4624</v>
      </c>
      <c r="T675" s="5">
        <f t="shared" si="157"/>
        <v>-4.4024000000000001</v>
      </c>
      <c r="U675" s="5">
        <f t="shared" si="158"/>
        <v>-114.4624</v>
      </c>
    </row>
    <row r="676" spans="1:21" x14ac:dyDescent="0.25">
      <c r="A676" s="11"/>
      <c r="B676" s="6" t="s">
        <v>734</v>
      </c>
      <c r="C676" s="9">
        <v>371.64</v>
      </c>
      <c r="D676" s="6"/>
      <c r="E676" s="8">
        <v>0.04</v>
      </c>
      <c r="F676" s="49">
        <v>0</v>
      </c>
      <c r="G676" s="9">
        <v>0</v>
      </c>
      <c r="H676" s="9"/>
      <c r="I676" s="48"/>
      <c r="J676" s="78" cm="1">
        <f t="array" ref="J676">IF(H676&lt;12.5, H676/2,
IF(H676&lt;29, 6.25,
IF(H676&lt;50, 6.5,
IF(H676&lt;79, 6.75,
VALUE(SUBSTITUTE(
INDEX(RESUMO!$J$2:$J$100, MATCH(1,
(D676&gt;=RESUMO!$H$2:$H$100)*(D676&lt;=RESUMO!$I$2:$I$100)*(H676&gt;=RESUMO!$K$2:$K$100)*(H676&lt;=RESUMO!$L$2:$L$100),
0)), "R$ ", ""))
))))</f>
        <v>0</v>
      </c>
      <c r="K676" s="9"/>
      <c r="L676" s="10" t="e">
        <f t="shared" si="153"/>
        <v>#DIV/0!</v>
      </c>
      <c r="M676" s="7"/>
      <c r="N676" s="48"/>
      <c r="O676" s="78" cm="1">
        <f t="array" ref="O676">IF(M676&lt;12.5, 0,
IF(M676&lt;29, 6.25,
IF(M676&lt;50, 6.5,
IF(M676&lt;79, 6.75,
VALUE(SUBSTITUTE(
INDEX(RESUMO!$J$2:$J$100, MATCH(1,
(D676&gt;=RESUMO!$H$2:$H$100)*(D676&lt;=RESUMO!$I$2:$I$100)*(M676&gt;=RESUMO!$K$2:$K$100)*(M676&lt;=RESUMO!$L$2:$L$100),
0)), "R$ ", ""))
))))</f>
        <v>0</v>
      </c>
      <c r="P676" s="9"/>
      <c r="Q676" s="10" t="e">
        <f t="shared" si="154"/>
        <v>#DIV/0!</v>
      </c>
      <c r="R676" s="5">
        <f t="shared" si="155"/>
        <v>-14.865600000000001</v>
      </c>
      <c r="S676" s="5">
        <f t="shared" si="156"/>
        <v>-386.50559999999996</v>
      </c>
      <c r="T676" s="5">
        <f t="shared" si="157"/>
        <v>-14.865600000000001</v>
      </c>
      <c r="U676" s="5">
        <f t="shared" si="158"/>
        <v>-386.50559999999996</v>
      </c>
    </row>
    <row r="677" spans="1:21" x14ac:dyDescent="0.25">
      <c r="A677" s="11"/>
      <c r="B677" s="6" t="s">
        <v>735</v>
      </c>
      <c r="C677" s="9">
        <v>145.88</v>
      </c>
      <c r="D677" s="6"/>
      <c r="E677" s="8">
        <v>0.04</v>
      </c>
      <c r="F677" s="49">
        <v>0</v>
      </c>
      <c r="G677" s="9">
        <v>0</v>
      </c>
      <c r="H677" s="9"/>
      <c r="I677" s="48"/>
      <c r="J677" s="78" cm="1">
        <f t="array" ref="J677">IF(H677&lt;12.5, H677/2,
IF(H677&lt;29, 6.25,
IF(H677&lt;50, 6.5,
IF(H677&lt;79, 6.75,
VALUE(SUBSTITUTE(
INDEX(RESUMO!$J$2:$J$100, MATCH(1,
(D677&gt;=RESUMO!$H$2:$H$100)*(D677&lt;=RESUMO!$I$2:$I$100)*(H677&gt;=RESUMO!$K$2:$K$100)*(H677&lt;=RESUMO!$L$2:$L$100),
0)), "R$ ", ""))
))))</f>
        <v>0</v>
      </c>
      <c r="K677" s="9"/>
      <c r="L677" s="10" t="e">
        <f t="shared" si="153"/>
        <v>#DIV/0!</v>
      </c>
      <c r="M677" s="7"/>
      <c r="N677" s="48"/>
      <c r="O677" s="78" cm="1">
        <f t="array" ref="O677">IF(M677&lt;12.5, 0,
IF(M677&lt;29, 6.25,
IF(M677&lt;50, 6.5,
IF(M677&lt;79, 6.75,
VALUE(SUBSTITUTE(
INDEX(RESUMO!$J$2:$J$100, MATCH(1,
(D677&gt;=RESUMO!$H$2:$H$100)*(D677&lt;=RESUMO!$I$2:$I$100)*(M677&gt;=RESUMO!$K$2:$K$100)*(M677&lt;=RESUMO!$L$2:$L$100),
0)), "R$ ", ""))
))))</f>
        <v>0</v>
      </c>
      <c r="P677" s="9"/>
      <c r="Q677" s="10" t="e">
        <f t="shared" si="154"/>
        <v>#DIV/0!</v>
      </c>
      <c r="R677" s="5">
        <f t="shared" si="155"/>
        <v>-5.8351999999999995</v>
      </c>
      <c r="S677" s="5">
        <f t="shared" si="156"/>
        <v>-151.71519999999998</v>
      </c>
      <c r="T677" s="5">
        <f t="shared" si="157"/>
        <v>-5.8351999999999995</v>
      </c>
      <c r="U677" s="5">
        <f t="shared" si="158"/>
        <v>-151.71519999999998</v>
      </c>
    </row>
    <row r="678" spans="1:21" x14ac:dyDescent="0.25">
      <c r="A678" s="11"/>
      <c r="B678" s="6" t="s">
        <v>736</v>
      </c>
      <c r="C678" s="9">
        <v>82.79</v>
      </c>
      <c r="D678" s="6"/>
      <c r="E678" s="8">
        <v>0.04</v>
      </c>
      <c r="F678" s="49">
        <v>0</v>
      </c>
      <c r="G678" s="9">
        <v>0</v>
      </c>
      <c r="H678" s="9"/>
      <c r="I678" s="48"/>
      <c r="J678" s="78" cm="1">
        <f t="array" ref="J678">IF(H678&lt;12.5, H678/2,
IF(H678&lt;29, 6.25,
IF(H678&lt;50, 6.5,
IF(H678&lt;79, 6.75,
VALUE(SUBSTITUTE(
INDEX(RESUMO!$J$2:$J$100, MATCH(1,
(D678&gt;=RESUMO!$H$2:$H$100)*(D678&lt;=RESUMO!$I$2:$I$100)*(H678&gt;=RESUMO!$K$2:$K$100)*(H678&lt;=RESUMO!$L$2:$L$100),
0)), "R$ ", ""))
))))</f>
        <v>0</v>
      </c>
      <c r="K678" s="9"/>
      <c r="L678" s="10" t="e">
        <f t="shared" si="153"/>
        <v>#DIV/0!</v>
      </c>
      <c r="M678" s="7"/>
      <c r="N678" s="48"/>
      <c r="O678" s="78" cm="1">
        <f t="array" ref="O678">IF(M678&lt;12.5, 0,
IF(M678&lt;29, 6.25,
IF(M678&lt;50, 6.5,
IF(M678&lt;79, 6.75,
VALUE(SUBSTITUTE(
INDEX(RESUMO!$J$2:$J$100, MATCH(1,
(D678&gt;=RESUMO!$H$2:$H$100)*(D678&lt;=RESUMO!$I$2:$I$100)*(M678&gt;=RESUMO!$K$2:$K$100)*(M678&lt;=RESUMO!$L$2:$L$100),
0)), "R$ ", ""))
))))</f>
        <v>0</v>
      </c>
      <c r="P678" s="9"/>
      <c r="Q678" s="10" t="e">
        <f t="shared" si="154"/>
        <v>#DIV/0!</v>
      </c>
      <c r="R678" s="5">
        <f t="shared" si="155"/>
        <v>-3.3116000000000003</v>
      </c>
      <c r="S678" s="5">
        <f t="shared" si="156"/>
        <v>-86.101600000000005</v>
      </c>
      <c r="T678" s="5">
        <f t="shared" si="157"/>
        <v>-3.3116000000000003</v>
      </c>
      <c r="U678" s="5">
        <f t="shared" si="158"/>
        <v>-86.101600000000005</v>
      </c>
    </row>
    <row r="679" spans="1:21" x14ac:dyDescent="0.25">
      <c r="A679" s="11"/>
      <c r="B679" s="6" t="s">
        <v>737</v>
      </c>
      <c r="C679" s="9">
        <v>153.15</v>
      </c>
      <c r="D679" s="6"/>
      <c r="E679" s="8">
        <v>0.04</v>
      </c>
      <c r="F679" s="49">
        <v>0</v>
      </c>
      <c r="G679" s="9">
        <v>0</v>
      </c>
      <c r="H679" s="9"/>
      <c r="I679" s="48"/>
      <c r="J679" s="78" cm="1">
        <f t="array" ref="J679">IF(H679&lt;12.5, H679/2,
IF(H679&lt;29, 6.25,
IF(H679&lt;50, 6.5,
IF(H679&lt;79, 6.75,
VALUE(SUBSTITUTE(
INDEX(RESUMO!$J$2:$J$100, MATCH(1,
(D679&gt;=RESUMO!$H$2:$H$100)*(D679&lt;=RESUMO!$I$2:$I$100)*(H679&gt;=RESUMO!$K$2:$K$100)*(H679&lt;=RESUMO!$L$2:$L$100),
0)), "R$ ", ""))
))))</f>
        <v>0</v>
      </c>
      <c r="K679" s="9"/>
      <c r="L679" s="10" t="e">
        <f t="shared" si="153"/>
        <v>#DIV/0!</v>
      </c>
      <c r="M679" s="7"/>
      <c r="N679" s="48"/>
      <c r="O679" s="78" cm="1">
        <f t="array" ref="O679">IF(M679&lt;12.5, 0,
IF(M679&lt;29, 6.25,
IF(M679&lt;50, 6.5,
IF(M679&lt;79, 6.75,
VALUE(SUBSTITUTE(
INDEX(RESUMO!$J$2:$J$100, MATCH(1,
(D679&gt;=RESUMO!$H$2:$H$100)*(D679&lt;=RESUMO!$I$2:$I$100)*(M679&gt;=RESUMO!$K$2:$K$100)*(M679&lt;=RESUMO!$L$2:$L$100),
0)), "R$ ", ""))
))))</f>
        <v>0</v>
      </c>
      <c r="P679" s="9"/>
      <c r="Q679" s="10" t="e">
        <f t="shared" si="154"/>
        <v>#DIV/0!</v>
      </c>
      <c r="R679" s="5">
        <f t="shared" si="155"/>
        <v>-6.1260000000000003</v>
      </c>
      <c r="S679" s="5">
        <f t="shared" si="156"/>
        <v>-159.27600000000001</v>
      </c>
      <c r="T679" s="5">
        <f t="shared" si="157"/>
        <v>-6.1260000000000003</v>
      </c>
      <c r="U679" s="5">
        <f t="shared" si="158"/>
        <v>-159.27600000000001</v>
      </c>
    </row>
    <row r="680" spans="1:21" x14ac:dyDescent="0.25">
      <c r="A680" s="11"/>
      <c r="B680" s="6" t="s">
        <v>738</v>
      </c>
      <c r="C680" s="9">
        <v>110.06</v>
      </c>
      <c r="D680" s="6"/>
      <c r="E680" s="8">
        <v>0.04</v>
      </c>
      <c r="F680" s="49">
        <v>0</v>
      </c>
      <c r="G680" s="9">
        <v>0</v>
      </c>
      <c r="H680" s="9"/>
      <c r="I680" s="48"/>
      <c r="J680" s="78" cm="1">
        <f t="array" ref="J680">IF(H680&lt;12.5, H680/2,
IF(H680&lt;29, 6.25,
IF(H680&lt;50, 6.5,
IF(H680&lt;79, 6.75,
VALUE(SUBSTITUTE(
INDEX(RESUMO!$J$2:$J$100, MATCH(1,
(D680&gt;=RESUMO!$H$2:$H$100)*(D680&lt;=RESUMO!$I$2:$I$100)*(H680&gt;=RESUMO!$K$2:$K$100)*(H680&lt;=RESUMO!$L$2:$L$100),
0)), "R$ ", ""))
))))</f>
        <v>0</v>
      </c>
      <c r="K680" s="9"/>
      <c r="L680" s="10" t="e">
        <f t="shared" si="153"/>
        <v>#DIV/0!</v>
      </c>
      <c r="M680" s="7"/>
      <c r="N680" s="48"/>
      <c r="O680" s="78" cm="1">
        <f t="array" ref="O680">IF(M680&lt;12.5, 0,
IF(M680&lt;29, 6.25,
IF(M680&lt;50, 6.5,
IF(M680&lt;79, 6.75,
VALUE(SUBSTITUTE(
INDEX(RESUMO!$J$2:$J$100, MATCH(1,
(D680&gt;=RESUMO!$H$2:$H$100)*(D680&lt;=RESUMO!$I$2:$I$100)*(M680&gt;=RESUMO!$K$2:$K$100)*(M680&lt;=RESUMO!$L$2:$L$100),
0)), "R$ ", ""))
))))</f>
        <v>0</v>
      </c>
      <c r="P680" s="9"/>
      <c r="Q680" s="10" t="e">
        <f t="shared" si="154"/>
        <v>#DIV/0!</v>
      </c>
      <c r="R680" s="5">
        <f t="shared" si="155"/>
        <v>-4.4024000000000001</v>
      </c>
      <c r="S680" s="5">
        <f t="shared" si="156"/>
        <v>-114.4624</v>
      </c>
      <c r="T680" s="5">
        <f t="shared" si="157"/>
        <v>-4.4024000000000001</v>
      </c>
      <c r="U680" s="5">
        <f t="shared" si="158"/>
        <v>-114.4624</v>
      </c>
    </row>
    <row r="681" spans="1:21" x14ac:dyDescent="0.25">
      <c r="A681" s="11"/>
      <c r="B681" s="6" t="s">
        <v>739</v>
      </c>
      <c r="C681" s="9">
        <v>170.69</v>
      </c>
      <c r="D681" s="6"/>
      <c r="E681" s="8">
        <v>0.04</v>
      </c>
      <c r="F681" s="49">
        <v>0</v>
      </c>
      <c r="G681" s="9">
        <v>0</v>
      </c>
      <c r="H681" s="9"/>
      <c r="I681" s="48"/>
      <c r="J681" s="78" cm="1">
        <f t="array" ref="J681">IF(H681&lt;12.5, H681/2,
IF(H681&lt;29, 6.25,
IF(H681&lt;50, 6.5,
IF(H681&lt;79, 6.75,
VALUE(SUBSTITUTE(
INDEX(RESUMO!$J$2:$J$100, MATCH(1,
(D681&gt;=RESUMO!$H$2:$H$100)*(D681&lt;=RESUMO!$I$2:$I$100)*(H681&gt;=RESUMO!$K$2:$K$100)*(H681&lt;=RESUMO!$L$2:$L$100),
0)), "R$ ", ""))
))))</f>
        <v>0</v>
      </c>
      <c r="K681" s="9"/>
      <c r="L681" s="10" t="e">
        <f t="shared" si="153"/>
        <v>#DIV/0!</v>
      </c>
      <c r="M681" s="7"/>
      <c r="N681" s="48"/>
      <c r="O681" s="78" cm="1">
        <f t="array" ref="O681">IF(M681&lt;12.5, 0,
IF(M681&lt;29, 6.25,
IF(M681&lt;50, 6.5,
IF(M681&lt;79, 6.75,
VALUE(SUBSTITUTE(
INDEX(RESUMO!$J$2:$J$100, MATCH(1,
(D681&gt;=RESUMO!$H$2:$H$100)*(D681&lt;=RESUMO!$I$2:$I$100)*(M681&gt;=RESUMO!$K$2:$K$100)*(M681&lt;=RESUMO!$L$2:$L$100),
0)), "R$ ", ""))
))))</f>
        <v>0</v>
      </c>
      <c r="P681" s="9"/>
      <c r="Q681" s="10" t="e">
        <f t="shared" si="154"/>
        <v>#DIV/0!</v>
      </c>
      <c r="R681" s="5">
        <f t="shared" si="155"/>
        <v>-6.8276000000000003</v>
      </c>
      <c r="S681" s="5">
        <f t="shared" si="156"/>
        <v>-177.51759999999999</v>
      </c>
      <c r="T681" s="5">
        <f t="shared" si="157"/>
        <v>-6.8276000000000003</v>
      </c>
      <c r="U681" s="5">
        <f t="shared" si="158"/>
        <v>-177.51759999999999</v>
      </c>
    </row>
    <row r="682" spans="1:21" x14ac:dyDescent="0.25">
      <c r="A682" s="11"/>
      <c r="B682" s="6" t="s">
        <v>740</v>
      </c>
      <c r="C682" s="9">
        <v>170.69</v>
      </c>
      <c r="D682" s="6"/>
      <c r="E682" s="8">
        <v>0.04</v>
      </c>
      <c r="F682" s="49">
        <v>0</v>
      </c>
      <c r="G682" s="9">
        <v>0</v>
      </c>
      <c r="H682" s="9"/>
      <c r="I682" s="48"/>
      <c r="J682" s="78" cm="1">
        <f t="array" ref="J682">IF(H682&lt;12.5, H682/2,
IF(H682&lt;29, 6.25,
IF(H682&lt;50, 6.5,
IF(H682&lt;79, 6.75,
VALUE(SUBSTITUTE(
INDEX(RESUMO!$J$2:$J$100, MATCH(1,
(D682&gt;=RESUMO!$H$2:$H$100)*(D682&lt;=RESUMO!$I$2:$I$100)*(H682&gt;=RESUMO!$K$2:$K$100)*(H682&lt;=RESUMO!$L$2:$L$100),
0)), "R$ ", ""))
))))</f>
        <v>0</v>
      </c>
      <c r="K682" s="9"/>
      <c r="L682" s="10" t="e">
        <f t="shared" si="153"/>
        <v>#DIV/0!</v>
      </c>
      <c r="M682" s="7"/>
      <c r="N682" s="48"/>
      <c r="O682" s="78" cm="1">
        <f t="array" ref="O682">IF(M682&lt;12.5, 0,
IF(M682&lt;29, 6.25,
IF(M682&lt;50, 6.5,
IF(M682&lt;79, 6.75,
VALUE(SUBSTITUTE(
INDEX(RESUMO!$J$2:$J$100, MATCH(1,
(D682&gt;=RESUMO!$H$2:$H$100)*(D682&lt;=RESUMO!$I$2:$I$100)*(M682&gt;=RESUMO!$K$2:$K$100)*(M682&lt;=RESUMO!$L$2:$L$100),
0)), "R$ ", ""))
))))</f>
        <v>0</v>
      </c>
      <c r="P682" s="9"/>
      <c r="Q682" s="10" t="e">
        <f t="shared" si="154"/>
        <v>#DIV/0!</v>
      </c>
      <c r="R682" s="5">
        <f t="shared" si="155"/>
        <v>-6.8276000000000003</v>
      </c>
      <c r="S682" s="5">
        <f t="shared" si="156"/>
        <v>-177.51759999999999</v>
      </c>
      <c r="T682" s="5">
        <f t="shared" si="157"/>
        <v>-6.8276000000000003</v>
      </c>
      <c r="U682" s="5">
        <f t="shared" si="158"/>
        <v>-177.51759999999999</v>
      </c>
    </row>
    <row r="683" spans="1:21" x14ac:dyDescent="0.25">
      <c r="A683" s="11"/>
      <c r="B683" s="6" t="s">
        <v>741</v>
      </c>
      <c r="C683" s="9">
        <v>122.54</v>
      </c>
      <c r="D683" s="6"/>
      <c r="E683" s="8">
        <v>0.04</v>
      </c>
      <c r="F683" s="49">
        <v>0</v>
      </c>
      <c r="G683" s="9">
        <v>0</v>
      </c>
      <c r="H683" s="9"/>
      <c r="I683" s="48"/>
      <c r="J683" s="78" cm="1">
        <f t="array" ref="J683">IF(H683&lt;12.5, H683/2,
IF(H683&lt;29, 6.25,
IF(H683&lt;50, 6.5,
IF(H683&lt;79, 6.75,
VALUE(SUBSTITUTE(
INDEX(RESUMO!$J$2:$J$100, MATCH(1,
(D683&gt;=RESUMO!$H$2:$H$100)*(D683&lt;=RESUMO!$I$2:$I$100)*(H683&gt;=RESUMO!$K$2:$K$100)*(H683&lt;=RESUMO!$L$2:$L$100),
0)), "R$ ", ""))
))))</f>
        <v>0</v>
      </c>
      <c r="K683" s="9"/>
      <c r="L683" s="10" t="e">
        <f t="shared" si="153"/>
        <v>#DIV/0!</v>
      </c>
      <c r="M683" s="7"/>
      <c r="N683" s="48"/>
      <c r="O683" s="78" cm="1">
        <f t="array" ref="O683">IF(M683&lt;12.5, 0,
IF(M683&lt;29, 6.25,
IF(M683&lt;50, 6.5,
IF(M683&lt;79, 6.75,
VALUE(SUBSTITUTE(
INDEX(RESUMO!$J$2:$J$100, MATCH(1,
(D683&gt;=RESUMO!$H$2:$H$100)*(D683&lt;=RESUMO!$I$2:$I$100)*(M683&gt;=RESUMO!$K$2:$K$100)*(M683&lt;=RESUMO!$L$2:$L$100),
0)), "R$ ", ""))
))))</f>
        <v>0</v>
      </c>
      <c r="P683" s="9"/>
      <c r="Q683" s="10" t="e">
        <f t="shared" si="154"/>
        <v>#DIV/0!</v>
      </c>
      <c r="R683" s="5">
        <f t="shared" si="155"/>
        <v>-4.9016000000000002</v>
      </c>
      <c r="S683" s="5">
        <f t="shared" si="156"/>
        <v>-127.44160000000001</v>
      </c>
      <c r="T683" s="5">
        <f t="shared" si="157"/>
        <v>-4.9016000000000002</v>
      </c>
      <c r="U683" s="5">
        <f t="shared" si="158"/>
        <v>-127.44160000000001</v>
      </c>
    </row>
    <row r="684" spans="1:21" x14ac:dyDescent="0.25">
      <c r="A684" s="11"/>
      <c r="B684" s="6" t="s">
        <v>742</v>
      </c>
      <c r="C684" s="9">
        <v>388.45</v>
      </c>
      <c r="D684" s="6"/>
      <c r="E684" s="8">
        <v>0.04</v>
      </c>
      <c r="F684" s="49">
        <v>0</v>
      </c>
      <c r="G684" s="9">
        <v>0</v>
      </c>
      <c r="H684" s="9"/>
      <c r="I684" s="48"/>
      <c r="J684" s="78" cm="1">
        <f t="array" ref="J684">IF(H684&lt;12.5, H684/2,
IF(H684&lt;29, 6.25,
IF(H684&lt;50, 6.5,
IF(H684&lt;79, 6.75,
VALUE(SUBSTITUTE(
INDEX(RESUMO!$J$2:$J$100, MATCH(1,
(D684&gt;=RESUMO!$H$2:$H$100)*(D684&lt;=RESUMO!$I$2:$I$100)*(H684&gt;=RESUMO!$K$2:$K$100)*(H684&lt;=RESUMO!$L$2:$L$100),
0)), "R$ ", ""))
))))</f>
        <v>0</v>
      </c>
      <c r="K684" s="9"/>
      <c r="L684" s="10" t="e">
        <f t="shared" si="153"/>
        <v>#DIV/0!</v>
      </c>
      <c r="M684" s="7"/>
      <c r="N684" s="48"/>
      <c r="O684" s="78" cm="1">
        <f t="array" ref="O684">IF(M684&lt;12.5, 0,
IF(M684&lt;29, 6.25,
IF(M684&lt;50, 6.5,
IF(M684&lt;79, 6.75,
VALUE(SUBSTITUTE(
INDEX(RESUMO!$J$2:$J$100, MATCH(1,
(D684&gt;=RESUMO!$H$2:$H$100)*(D684&lt;=RESUMO!$I$2:$I$100)*(M684&gt;=RESUMO!$K$2:$K$100)*(M684&lt;=RESUMO!$L$2:$L$100),
0)), "R$ ", ""))
))))</f>
        <v>0</v>
      </c>
      <c r="P684" s="9"/>
      <c r="Q684" s="10" t="e">
        <f t="shared" si="154"/>
        <v>#DIV/0!</v>
      </c>
      <c r="R684" s="5">
        <f t="shared" si="155"/>
        <v>-15.538</v>
      </c>
      <c r="S684" s="5">
        <f t="shared" si="156"/>
        <v>-403.988</v>
      </c>
      <c r="T684" s="5">
        <f t="shared" si="157"/>
        <v>-15.538</v>
      </c>
      <c r="U684" s="5">
        <f t="shared" si="158"/>
        <v>-403.988</v>
      </c>
    </row>
    <row r="685" spans="1:21" x14ac:dyDescent="0.25">
      <c r="A685" s="11"/>
      <c r="B685" s="6" t="s">
        <v>743</v>
      </c>
      <c r="C685" s="9">
        <v>85.5</v>
      </c>
      <c r="D685" s="6"/>
      <c r="E685" s="8">
        <v>0.04</v>
      </c>
      <c r="F685" s="49">
        <v>0</v>
      </c>
      <c r="G685" s="9">
        <v>0</v>
      </c>
      <c r="H685" s="9"/>
      <c r="I685" s="48"/>
      <c r="J685" s="78" cm="1">
        <f t="array" ref="J685">IF(H685&lt;12.5, H685/2,
IF(H685&lt;29, 6.25,
IF(H685&lt;50, 6.5,
IF(H685&lt;79, 6.75,
VALUE(SUBSTITUTE(
INDEX(RESUMO!$J$2:$J$100, MATCH(1,
(D685&gt;=RESUMO!$H$2:$H$100)*(D685&lt;=RESUMO!$I$2:$I$100)*(H685&gt;=RESUMO!$K$2:$K$100)*(H685&lt;=RESUMO!$L$2:$L$100),
0)), "R$ ", ""))
))))</f>
        <v>0</v>
      </c>
      <c r="K685" s="9"/>
      <c r="L685" s="10" t="e">
        <f t="shared" si="153"/>
        <v>#DIV/0!</v>
      </c>
      <c r="M685" s="7"/>
      <c r="N685" s="48"/>
      <c r="O685" s="78" cm="1">
        <f t="array" ref="O685">IF(M685&lt;12.5, 0,
IF(M685&lt;29, 6.25,
IF(M685&lt;50, 6.5,
IF(M685&lt;79, 6.75,
VALUE(SUBSTITUTE(
INDEX(RESUMO!$J$2:$J$100, MATCH(1,
(D685&gt;=RESUMO!$H$2:$H$100)*(D685&lt;=RESUMO!$I$2:$I$100)*(M685&gt;=RESUMO!$K$2:$K$100)*(M685&lt;=RESUMO!$L$2:$L$100),
0)), "R$ ", ""))
))))</f>
        <v>0</v>
      </c>
      <c r="P685" s="9"/>
      <c r="Q685" s="10" t="e">
        <f t="shared" si="154"/>
        <v>#DIV/0!</v>
      </c>
      <c r="R685" s="5">
        <f t="shared" si="155"/>
        <v>-3.42</v>
      </c>
      <c r="S685" s="5">
        <f t="shared" si="156"/>
        <v>-88.92</v>
      </c>
      <c r="T685" s="5">
        <f t="shared" si="157"/>
        <v>-3.42</v>
      </c>
      <c r="U685" s="5">
        <f t="shared" si="158"/>
        <v>-88.92</v>
      </c>
    </row>
    <row r="686" spans="1:21" x14ac:dyDescent="0.25">
      <c r="A686" s="11"/>
      <c r="B686" s="6" t="s">
        <v>744</v>
      </c>
      <c r="C686" s="9">
        <v>384.75</v>
      </c>
      <c r="D686" s="6"/>
      <c r="E686" s="8">
        <v>0.04</v>
      </c>
      <c r="F686" s="49">
        <v>0</v>
      </c>
      <c r="G686" s="9">
        <v>0</v>
      </c>
      <c r="H686" s="9"/>
      <c r="I686" s="48"/>
      <c r="J686" s="78" cm="1">
        <f t="array" ref="J686">IF(H686&lt;12.5, H686/2,
IF(H686&lt;29, 6.25,
IF(H686&lt;50, 6.5,
IF(H686&lt;79, 6.75,
VALUE(SUBSTITUTE(
INDEX(RESUMO!$J$2:$J$100, MATCH(1,
(D686&gt;=RESUMO!$H$2:$H$100)*(D686&lt;=RESUMO!$I$2:$I$100)*(H686&gt;=RESUMO!$K$2:$K$100)*(H686&lt;=RESUMO!$L$2:$L$100),
0)), "R$ ", ""))
))))</f>
        <v>0</v>
      </c>
      <c r="K686" s="9"/>
      <c r="L686" s="10" t="e">
        <f t="shared" si="153"/>
        <v>#DIV/0!</v>
      </c>
      <c r="M686" s="7"/>
      <c r="N686" s="48"/>
      <c r="O686" s="78" cm="1">
        <f t="array" ref="O686">IF(M686&lt;12.5, 0,
IF(M686&lt;29, 6.25,
IF(M686&lt;50, 6.5,
IF(M686&lt;79, 6.75,
VALUE(SUBSTITUTE(
INDEX(RESUMO!$J$2:$J$100, MATCH(1,
(D686&gt;=RESUMO!$H$2:$H$100)*(D686&lt;=RESUMO!$I$2:$I$100)*(M686&gt;=RESUMO!$K$2:$K$100)*(M686&lt;=RESUMO!$L$2:$L$100),
0)), "R$ ", ""))
))))</f>
        <v>0</v>
      </c>
      <c r="P686" s="9"/>
      <c r="Q686" s="10" t="e">
        <f t="shared" si="154"/>
        <v>#DIV/0!</v>
      </c>
      <c r="R686" s="5">
        <f t="shared" si="155"/>
        <v>-15.39</v>
      </c>
      <c r="S686" s="5">
        <f t="shared" si="156"/>
        <v>-400.14</v>
      </c>
      <c r="T686" s="5">
        <f t="shared" si="157"/>
        <v>-15.39</v>
      </c>
      <c r="U686" s="5">
        <f t="shared" si="158"/>
        <v>-400.14</v>
      </c>
    </row>
    <row r="687" spans="1:21" x14ac:dyDescent="0.25">
      <c r="A687" s="11"/>
      <c r="B687" s="6" t="s">
        <v>745</v>
      </c>
      <c r="C687" s="9">
        <v>231.2</v>
      </c>
      <c r="D687" s="6"/>
      <c r="E687" s="8">
        <v>0.04</v>
      </c>
      <c r="F687" s="49">
        <v>0</v>
      </c>
      <c r="G687" s="9">
        <v>0</v>
      </c>
      <c r="H687" s="9"/>
      <c r="I687" s="48"/>
      <c r="J687" s="78" cm="1">
        <f t="array" ref="J687">IF(H687&lt;12.5, H687/2,
IF(H687&lt;29, 6.25,
IF(H687&lt;50, 6.5,
IF(H687&lt;79, 6.75,
VALUE(SUBSTITUTE(
INDEX(RESUMO!$J$2:$J$100, MATCH(1,
(D687&gt;=RESUMO!$H$2:$H$100)*(D687&lt;=RESUMO!$I$2:$I$100)*(H687&gt;=RESUMO!$K$2:$K$100)*(H687&lt;=RESUMO!$L$2:$L$100),
0)), "R$ ", ""))
))))</f>
        <v>0</v>
      </c>
      <c r="K687" s="9"/>
      <c r="L687" s="10" t="e">
        <f t="shared" si="153"/>
        <v>#DIV/0!</v>
      </c>
      <c r="M687" s="7"/>
      <c r="N687" s="48"/>
      <c r="O687" s="78" cm="1">
        <f t="array" ref="O687">IF(M687&lt;12.5, 0,
IF(M687&lt;29, 6.25,
IF(M687&lt;50, 6.5,
IF(M687&lt;79, 6.75,
VALUE(SUBSTITUTE(
INDEX(RESUMO!$J$2:$J$100, MATCH(1,
(D687&gt;=RESUMO!$H$2:$H$100)*(D687&lt;=RESUMO!$I$2:$I$100)*(M687&gt;=RESUMO!$K$2:$K$100)*(M687&lt;=RESUMO!$L$2:$L$100),
0)), "R$ ", ""))
))))</f>
        <v>0</v>
      </c>
      <c r="P687" s="9"/>
      <c r="Q687" s="10" t="e">
        <f t="shared" si="154"/>
        <v>#DIV/0!</v>
      </c>
      <c r="R687" s="5">
        <f t="shared" si="155"/>
        <v>-9.2479999999999993</v>
      </c>
      <c r="S687" s="5">
        <f t="shared" si="156"/>
        <v>-240.44799999999998</v>
      </c>
      <c r="T687" s="5">
        <f t="shared" si="157"/>
        <v>-9.2479999999999993</v>
      </c>
      <c r="U687" s="5">
        <f t="shared" si="158"/>
        <v>-240.44799999999998</v>
      </c>
    </row>
    <row r="688" spans="1:21" x14ac:dyDescent="0.25">
      <c r="A688" s="11"/>
      <c r="B688" s="6" t="s">
        <v>746</v>
      </c>
      <c r="C688" s="9">
        <v>122.54</v>
      </c>
      <c r="D688" s="6"/>
      <c r="E688" s="8">
        <v>0.04</v>
      </c>
      <c r="F688" s="49">
        <v>0</v>
      </c>
      <c r="G688" s="9">
        <v>0</v>
      </c>
      <c r="H688" s="9"/>
      <c r="I688" s="48"/>
      <c r="J688" s="78" cm="1">
        <f t="array" ref="J688">IF(H688&lt;12.5, H688/2,
IF(H688&lt;29, 6.25,
IF(H688&lt;50, 6.5,
IF(H688&lt;79, 6.75,
VALUE(SUBSTITUTE(
INDEX(RESUMO!$J$2:$J$100, MATCH(1,
(D688&gt;=RESUMO!$H$2:$H$100)*(D688&lt;=RESUMO!$I$2:$I$100)*(H688&gt;=RESUMO!$K$2:$K$100)*(H688&lt;=RESUMO!$L$2:$L$100),
0)), "R$ ", ""))
))))</f>
        <v>0</v>
      </c>
      <c r="K688" s="9"/>
      <c r="L688" s="10" t="e">
        <f t="shared" ref="L688:L710" si="159">S688/H688</f>
        <v>#DIV/0!</v>
      </c>
      <c r="M688" s="7"/>
      <c r="N688" s="48"/>
      <c r="O688" s="78" cm="1">
        <f t="array" ref="O688">IF(M688&lt;12.5, 0,
IF(M688&lt;29, 6.25,
IF(M688&lt;50, 6.5,
IF(M688&lt;79, 6.75,
VALUE(SUBSTITUTE(
INDEX(RESUMO!$J$2:$J$100, MATCH(1,
(D688&gt;=RESUMO!$H$2:$H$100)*(D688&lt;=RESUMO!$I$2:$I$100)*(M688&gt;=RESUMO!$K$2:$K$100)*(M688&lt;=RESUMO!$L$2:$L$100),
0)), "R$ ", ""))
))))</f>
        <v>0</v>
      </c>
      <c r="P688" s="9"/>
      <c r="Q688" s="10" t="e">
        <f t="shared" ref="Q688:Q710" si="160">U688/M688</f>
        <v>#DIV/0!</v>
      </c>
      <c r="R688" s="5">
        <f t="shared" ref="R688:R710" si="161">(H688-(H688*I688)-J688-(C688*E688)+K688)</f>
        <v>-4.9016000000000002</v>
      </c>
      <c r="S688" s="5">
        <f t="shared" ref="S688:S710" si="162">R688-(C688-F688)</f>
        <v>-127.44160000000001</v>
      </c>
      <c r="T688" s="5">
        <f t="shared" ref="T688:T710" si="163">(M688-(M688*N688)-O688-(C688*E688)+P688)</f>
        <v>-4.9016000000000002</v>
      </c>
      <c r="U688" s="5">
        <f t="shared" ref="U688:U710" si="164">T688-(C688-F688)</f>
        <v>-127.44160000000001</v>
      </c>
    </row>
    <row r="689" spans="1:21" x14ac:dyDescent="0.25">
      <c r="A689" s="11"/>
      <c r="B689" s="6" t="s">
        <v>747</v>
      </c>
      <c r="C689" s="9">
        <v>203.47</v>
      </c>
      <c r="D689" s="6"/>
      <c r="E689" s="8">
        <v>0.04</v>
      </c>
      <c r="F689" s="49">
        <v>0</v>
      </c>
      <c r="G689" s="9">
        <v>0</v>
      </c>
      <c r="H689" s="9"/>
      <c r="I689" s="48"/>
      <c r="J689" s="78" cm="1">
        <f t="array" ref="J689">IF(H689&lt;12.5, H689/2,
IF(H689&lt;29, 6.25,
IF(H689&lt;50, 6.5,
IF(H689&lt;79, 6.75,
VALUE(SUBSTITUTE(
INDEX(RESUMO!$J$2:$J$100, MATCH(1,
(D689&gt;=RESUMO!$H$2:$H$100)*(D689&lt;=RESUMO!$I$2:$I$100)*(H689&gt;=RESUMO!$K$2:$K$100)*(H689&lt;=RESUMO!$L$2:$L$100),
0)), "R$ ", ""))
))))</f>
        <v>0</v>
      </c>
      <c r="K689" s="9"/>
      <c r="L689" s="10" t="e">
        <f t="shared" si="159"/>
        <v>#DIV/0!</v>
      </c>
      <c r="M689" s="7"/>
      <c r="N689" s="48"/>
      <c r="O689" s="78" cm="1">
        <f t="array" ref="O689">IF(M689&lt;12.5, 0,
IF(M689&lt;29, 6.25,
IF(M689&lt;50, 6.5,
IF(M689&lt;79, 6.75,
VALUE(SUBSTITUTE(
INDEX(RESUMO!$J$2:$J$100, MATCH(1,
(D689&gt;=RESUMO!$H$2:$H$100)*(D689&lt;=RESUMO!$I$2:$I$100)*(M689&gt;=RESUMO!$K$2:$K$100)*(M689&lt;=RESUMO!$L$2:$L$100),
0)), "R$ ", ""))
))))</f>
        <v>0</v>
      </c>
      <c r="P689" s="9"/>
      <c r="Q689" s="10" t="e">
        <f t="shared" si="160"/>
        <v>#DIV/0!</v>
      </c>
      <c r="R689" s="5">
        <f t="shared" si="161"/>
        <v>-8.1387999999999998</v>
      </c>
      <c r="S689" s="5">
        <f t="shared" si="162"/>
        <v>-211.6088</v>
      </c>
      <c r="T689" s="5">
        <f t="shared" si="163"/>
        <v>-8.1387999999999998</v>
      </c>
      <c r="U689" s="5">
        <f t="shared" si="164"/>
        <v>-211.6088</v>
      </c>
    </row>
    <row r="690" spans="1:21" x14ac:dyDescent="0.25">
      <c r="A690" s="11"/>
      <c r="B690" s="6" t="s">
        <v>748</v>
      </c>
      <c r="C690" s="9">
        <v>179.42</v>
      </c>
      <c r="D690" s="6"/>
      <c r="E690" s="8">
        <v>0.04</v>
      </c>
      <c r="F690" s="49">
        <v>0</v>
      </c>
      <c r="G690" s="9">
        <v>0</v>
      </c>
      <c r="H690" s="9"/>
      <c r="I690" s="48"/>
      <c r="J690" s="78" cm="1">
        <f t="array" ref="J690">IF(H690&lt;12.5, H690/2,
IF(H690&lt;29, 6.25,
IF(H690&lt;50, 6.5,
IF(H690&lt;79, 6.75,
VALUE(SUBSTITUTE(
INDEX(RESUMO!$J$2:$J$100, MATCH(1,
(D690&gt;=RESUMO!$H$2:$H$100)*(D690&lt;=RESUMO!$I$2:$I$100)*(H690&gt;=RESUMO!$K$2:$K$100)*(H690&lt;=RESUMO!$L$2:$L$100),
0)), "R$ ", ""))
))))</f>
        <v>0</v>
      </c>
      <c r="K690" s="9"/>
      <c r="L690" s="10" t="e">
        <f t="shared" si="159"/>
        <v>#DIV/0!</v>
      </c>
      <c r="M690" s="7"/>
      <c r="N690" s="48"/>
      <c r="O690" s="78" cm="1">
        <f t="array" ref="O690">IF(M690&lt;12.5, 0,
IF(M690&lt;29, 6.25,
IF(M690&lt;50, 6.5,
IF(M690&lt;79, 6.75,
VALUE(SUBSTITUTE(
INDEX(RESUMO!$J$2:$J$100, MATCH(1,
(D690&gt;=RESUMO!$H$2:$H$100)*(D690&lt;=RESUMO!$I$2:$I$100)*(M690&gt;=RESUMO!$K$2:$K$100)*(M690&lt;=RESUMO!$L$2:$L$100),
0)), "R$ ", ""))
))))</f>
        <v>0</v>
      </c>
      <c r="P690" s="9"/>
      <c r="Q690" s="10" t="e">
        <f t="shared" si="160"/>
        <v>#DIV/0!</v>
      </c>
      <c r="R690" s="5">
        <f t="shared" si="161"/>
        <v>-7.1768000000000001</v>
      </c>
      <c r="S690" s="5">
        <f t="shared" si="162"/>
        <v>-186.59679999999997</v>
      </c>
      <c r="T690" s="5">
        <f t="shared" si="163"/>
        <v>-7.1768000000000001</v>
      </c>
      <c r="U690" s="5">
        <f t="shared" si="164"/>
        <v>-186.59679999999997</v>
      </c>
    </row>
    <row r="691" spans="1:21" x14ac:dyDescent="0.25">
      <c r="A691" s="11"/>
      <c r="B691" s="6" t="s">
        <v>749</v>
      </c>
      <c r="C691" s="9">
        <v>268.02</v>
      </c>
      <c r="D691" s="6"/>
      <c r="E691" s="8">
        <v>0.04</v>
      </c>
      <c r="F691" s="49">
        <v>0</v>
      </c>
      <c r="G691" s="9">
        <v>0</v>
      </c>
      <c r="H691" s="9"/>
      <c r="I691" s="48"/>
      <c r="J691" s="78" cm="1">
        <f t="array" ref="J691">IF(H691&lt;12.5, H691/2,
IF(H691&lt;29, 6.25,
IF(H691&lt;50, 6.5,
IF(H691&lt;79, 6.75,
VALUE(SUBSTITUTE(
INDEX(RESUMO!$J$2:$J$100, MATCH(1,
(D691&gt;=RESUMO!$H$2:$H$100)*(D691&lt;=RESUMO!$I$2:$I$100)*(H691&gt;=RESUMO!$K$2:$K$100)*(H691&lt;=RESUMO!$L$2:$L$100),
0)), "R$ ", ""))
))))</f>
        <v>0</v>
      </c>
      <c r="K691" s="9"/>
      <c r="L691" s="10" t="e">
        <f t="shared" si="159"/>
        <v>#DIV/0!</v>
      </c>
      <c r="M691" s="7"/>
      <c r="N691" s="48"/>
      <c r="O691" s="78" cm="1">
        <f t="array" ref="O691">IF(M691&lt;12.5, 0,
IF(M691&lt;29, 6.25,
IF(M691&lt;50, 6.5,
IF(M691&lt;79, 6.75,
VALUE(SUBSTITUTE(
INDEX(RESUMO!$J$2:$J$100, MATCH(1,
(D691&gt;=RESUMO!$H$2:$H$100)*(D691&lt;=RESUMO!$I$2:$I$100)*(M691&gt;=RESUMO!$K$2:$K$100)*(M691&lt;=RESUMO!$L$2:$L$100),
0)), "R$ ", ""))
))))</f>
        <v>0</v>
      </c>
      <c r="P691" s="9"/>
      <c r="Q691" s="10" t="e">
        <f t="shared" si="160"/>
        <v>#DIV/0!</v>
      </c>
      <c r="R691" s="5">
        <f t="shared" si="161"/>
        <v>-10.720799999999999</v>
      </c>
      <c r="S691" s="5">
        <f t="shared" si="162"/>
        <v>-278.74079999999998</v>
      </c>
      <c r="T691" s="5">
        <f t="shared" si="163"/>
        <v>-10.720799999999999</v>
      </c>
      <c r="U691" s="5">
        <f t="shared" si="164"/>
        <v>-278.74079999999998</v>
      </c>
    </row>
    <row r="692" spans="1:21" x14ac:dyDescent="0.25">
      <c r="A692" s="11"/>
      <c r="B692" s="6" t="s">
        <v>750</v>
      </c>
      <c r="C692" s="9">
        <v>268.02</v>
      </c>
      <c r="D692" s="6"/>
      <c r="E692" s="8">
        <v>0.04</v>
      </c>
      <c r="F692" s="49">
        <v>0</v>
      </c>
      <c r="G692" s="9">
        <v>0</v>
      </c>
      <c r="H692" s="9"/>
      <c r="I692" s="48"/>
      <c r="J692" s="78" cm="1">
        <f t="array" ref="J692">IF(H692&lt;12.5, H692/2,
IF(H692&lt;29, 6.25,
IF(H692&lt;50, 6.5,
IF(H692&lt;79, 6.75,
VALUE(SUBSTITUTE(
INDEX(RESUMO!$J$2:$J$100, MATCH(1,
(D692&gt;=RESUMO!$H$2:$H$100)*(D692&lt;=RESUMO!$I$2:$I$100)*(H692&gt;=RESUMO!$K$2:$K$100)*(H692&lt;=RESUMO!$L$2:$L$100),
0)), "R$ ", ""))
))))</f>
        <v>0</v>
      </c>
      <c r="K692" s="9"/>
      <c r="L692" s="10" t="e">
        <f t="shared" si="159"/>
        <v>#DIV/0!</v>
      </c>
      <c r="M692" s="7"/>
      <c r="N692" s="48"/>
      <c r="O692" s="78" cm="1">
        <f t="array" ref="O692">IF(M692&lt;12.5, 0,
IF(M692&lt;29, 6.25,
IF(M692&lt;50, 6.5,
IF(M692&lt;79, 6.75,
VALUE(SUBSTITUTE(
INDEX(RESUMO!$J$2:$J$100, MATCH(1,
(D692&gt;=RESUMO!$H$2:$H$100)*(D692&lt;=RESUMO!$I$2:$I$100)*(M692&gt;=RESUMO!$K$2:$K$100)*(M692&lt;=RESUMO!$L$2:$L$100),
0)), "R$ ", ""))
))))</f>
        <v>0</v>
      </c>
      <c r="P692" s="9"/>
      <c r="Q692" s="10" t="e">
        <f t="shared" si="160"/>
        <v>#DIV/0!</v>
      </c>
      <c r="R692" s="5">
        <f t="shared" si="161"/>
        <v>-10.720799999999999</v>
      </c>
      <c r="S692" s="5">
        <f t="shared" si="162"/>
        <v>-278.74079999999998</v>
      </c>
      <c r="T692" s="5">
        <f t="shared" si="163"/>
        <v>-10.720799999999999</v>
      </c>
      <c r="U692" s="5">
        <f t="shared" si="164"/>
        <v>-278.74079999999998</v>
      </c>
    </row>
    <row r="693" spans="1:21" x14ac:dyDescent="0.25">
      <c r="A693" s="11"/>
      <c r="B693" s="6" t="s">
        <v>751</v>
      </c>
      <c r="C693" s="9">
        <v>562.75</v>
      </c>
      <c r="D693" s="6"/>
      <c r="E693" s="8">
        <v>0.04</v>
      </c>
      <c r="F693" s="49">
        <v>0</v>
      </c>
      <c r="G693" s="9">
        <v>0</v>
      </c>
      <c r="H693" s="9"/>
      <c r="I693" s="48"/>
      <c r="J693" s="78" cm="1">
        <f t="array" ref="J693">IF(H693&lt;12.5, H693/2,
IF(H693&lt;29, 6.25,
IF(H693&lt;50, 6.5,
IF(H693&lt;79, 6.75,
VALUE(SUBSTITUTE(
INDEX(RESUMO!$J$2:$J$100, MATCH(1,
(D693&gt;=RESUMO!$H$2:$H$100)*(D693&lt;=RESUMO!$I$2:$I$100)*(H693&gt;=RESUMO!$K$2:$K$100)*(H693&lt;=RESUMO!$L$2:$L$100),
0)), "R$ ", ""))
))))</f>
        <v>0</v>
      </c>
      <c r="K693" s="9"/>
      <c r="L693" s="10" t="e">
        <f t="shared" si="159"/>
        <v>#DIV/0!</v>
      </c>
      <c r="M693" s="7"/>
      <c r="N693" s="48"/>
      <c r="O693" s="78" cm="1">
        <f t="array" ref="O693">IF(M693&lt;12.5, 0,
IF(M693&lt;29, 6.25,
IF(M693&lt;50, 6.5,
IF(M693&lt;79, 6.75,
VALUE(SUBSTITUTE(
INDEX(RESUMO!$J$2:$J$100, MATCH(1,
(D693&gt;=RESUMO!$H$2:$H$100)*(D693&lt;=RESUMO!$I$2:$I$100)*(M693&gt;=RESUMO!$K$2:$K$100)*(M693&lt;=RESUMO!$L$2:$L$100),
0)), "R$ ", ""))
))))</f>
        <v>0</v>
      </c>
      <c r="P693" s="9"/>
      <c r="Q693" s="10" t="e">
        <f t="shared" si="160"/>
        <v>#DIV/0!</v>
      </c>
      <c r="R693" s="5">
        <f t="shared" si="161"/>
        <v>-22.51</v>
      </c>
      <c r="S693" s="5">
        <f t="shared" si="162"/>
        <v>-585.26</v>
      </c>
      <c r="T693" s="5">
        <f t="shared" si="163"/>
        <v>-22.51</v>
      </c>
      <c r="U693" s="5">
        <f t="shared" si="164"/>
        <v>-585.26</v>
      </c>
    </row>
    <row r="694" spans="1:21" x14ac:dyDescent="0.25">
      <c r="A694" s="11"/>
      <c r="B694" s="6" t="s">
        <v>752</v>
      </c>
      <c r="C694" s="9">
        <v>142.22999999999999</v>
      </c>
      <c r="D694" s="6"/>
      <c r="E694" s="8">
        <v>0.04</v>
      </c>
      <c r="F694" s="49">
        <v>0</v>
      </c>
      <c r="G694" s="9">
        <v>0</v>
      </c>
      <c r="H694" s="9"/>
      <c r="I694" s="48"/>
      <c r="J694" s="78" cm="1">
        <f t="array" ref="J694">IF(H694&lt;12.5, H694/2,
IF(H694&lt;29, 6.25,
IF(H694&lt;50, 6.5,
IF(H694&lt;79, 6.75,
VALUE(SUBSTITUTE(
INDEX(RESUMO!$J$2:$J$100, MATCH(1,
(D694&gt;=RESUMO!$H$2:$H$100)*(D694&lt;=RESUMO!$I$2:$I$100)*(H694&gt;=RESUMO!$K$2:$K$100)*(H694&lt;=RESUMO!$L$2:$L$100),
0)), "R$ ", ""))
))))</f>
        <v>0</v>
      </c>
      <c r="K694" s="9"/>
      <c r="L694" s="10" t="e">
        <f t="shared" si="159"/>
        <v>#DIV/0!</v>
      </c>
      <c r="M694" s="7"/>
      <c r="N694" s="48"/>
      <c r="O694" s="78" cm="1">
        <f t="array" ref="O694">IF(M694&lt;12.5, 0,
IF(M694&lt;29, 6.25,
IF(M694&lt;50, 6.5,
IF(M694&lt;79, 6.75,
VALUE(SUBSTITUTE(
INDEX(RESUMO!$J$2:$J$100, MATCH(1,
(D694&gt;=RESUMO!$H$2:$H$100)*(D694&lt;=RESUMO!$I$2:$I$100)*(M694&gt;=RESUMO!$K$2:$K$100)*(M694&lt;=RESUMO!$L$2:$L$100),
0)), "R$ ", ""))
))))</f>
        <v>0</v>
      </c>
      <c r="P694" s="9"/>
      <c r="Q694" s="10" t="e">
        <f t="shared" si="160"/>
        <v>#DIV/0!</v>
      </c>
      <c r="R694" s="5">
        <f t="shared" si="161"/>
        <v>-5.6891999999999996</v>
      </c>
      <c r="S694" s="5">
        <f t="shared" si="162"/>
        <v>-147.91919999999999</v>
      </c>
      <c r="T694" s="5">
        <f t="shared" si="163"/>
        <v>-5.6891999999999996</v>
      </c>
      <c r="U694" s="5">
        <f t="shared" si="164"/>
        <v>-147.91919999999999</v>
      </c>
    </row>
    <row r="695" spans="1:21" x14ac:dyDescent="0.25">
      <c r="A695" s="11"/>
      <c r="B695" s="6" t="s">
        <v>753</v>
      </c>
      <c r="C695" s="9">
        <v>95.63</v>
      </c>
      <c r="D695" s="6"/>
      <c r="E695" s="8">
        <v>0.04</v>
      </c>
      <c r="F695" s="49">
        <v>0</v>
      </c>
      <c r="G695" s="9">
        <v>0</v>
      </c>
      <c r="H695" s="9"/>
      <c r="I695" s="48"/>
      <c r="J695" s="78" cm="1">
        <f t="array" ref="J695">IF(H695&lt;12.5, H695/2,
IF(H695&lt;29, 6.25,
IF(H695&lt;50, 6.5,
IF(H695&lt;79, 6.75,
VALUE(SUBSTITUTE(
INDEX(RESUMO!$J$2:$J$100, MATCH(1,
(D695&gt;=RESUMO!$H$2:$H$100)*(D695&lt;=RESUMO!$I$2:$I$100)*(H695&gt;=RESUMO!$K$2:$K$100)*(H695&lt;=RESUMO!$L$2:$L$100),
0)), "R$ ", ""))
))))</f>
        <v>0</v>
      </c>
      <c r="K695" s="9"/>
      <c r="L695" s="10" t="e">
        <f t="shared" si="159"/>
        <v>#DIV/0!</v>
      </c>
      <c r="M695" s="7"/>
      <c r="N695" s="48"/>
      <c r="O695" s="78" cm="1">
        <f t="array" ref="O695">IF(M695&lt;12.5, 0,
IF(M695&lt;29, 6.25,
IF(M695&lt;50, 6.5,
IF(M695&lt;79, 6.75,
VALUE(SUBSTITUTE(
INDEX(RESUMO!$J$2:$J$100, MATCH(1,
(D695&gt;=RESUMO!$H$2:$H$100)*(D695&lt;=RESUMO!$I$2:$I$100)*(M695&gt;=RESUMO!$K$2:$K$100)*(M695&lt;=RESUMO!$L$2:$L$100),
0)), "R$ ", ""))
))))</f>
        <v>0</v>
      </c>
      <c r="P695" s="9"/>
      <c r="Q695" s="10" t="e">
        <f t="shared" si="160"/>
        <v>#DIV/0!</v>
      </c>
      <c r="R695" s="5">
        <f t="shared" si="161"/>
        <v>-3.8251999999999997</v>
      </c>
      <c r="S695" s="5">
        <f t="shared" si="162"/>
        <v>-99.455199999999991</v>
      </c>
      <c r="T695" s="5">
        <f t="shared" si="163"/>
        <v>-3.8251999999999997</v>
      </c>
      <c r="U695" s="5">
        <f t="shared" si="164"/>
        <v>-99.455199999999991</v>
      </c>
    </row>
    <row r="696" spans="1:21" x14ac:dyDescent="0.25">
      <c r="A696" s="11"/>
      <c r="B696" s="6" t="s">
        <v>754</v>
      </c>
      <c r="C696" s="9">
        <v>142.22999999999999</v>
      </c>
      <c r="D696" s="6"/>
      <c r="E696" s="8">
        <v>0.04</v>
      </c>
      <c r="F696" s="49">
        <v>0</v>
      </c>
      <c r="G696" s="9">
        <v>0</v>
      </c>
      <c r="H696" s="9"/>
      <c r="I696" s="48"/>
      <c r="J696" s="78" cm="1">
        <f t="array" ref="J696">IF(H696&lt;12.5, H696/2,
IF(H696&lt;29, 6.25,
IF(H696&lt;50, 6.5,
IF(H696&lt;79, 6.75,
VALUE(SUBSTITUTE(
INDEX(RESUMO!$J$2:$J$100, MATCH(1,
(D696&gt;=RESUMO!$H$2:$H$100)*(D696&lt;=RESUMO!$I$2:$I$100)*(H696&gt;=RESUMO!$K$2:$K$100)*(H696&lt;=RESUMO!$L$2:$L$100),
0)), "R$ ", ""))
))))</f>
        <v>0</v>
      </c>
      <c r="K696" s="9"/>
      <c r="L696" s="10" t="e">
        <f t="shared" si="159"/>
        <v>#DIV/0!</v>
      </c>
      <c r="M696" s="7"/>
      <c r="N696" s="48"/>
      <c r="O696" s="78" cm="1">
        <f t="array" ref="O696">IF(M696&lt;12.5, 0,
IF(M696&lt;29, 6.25,
IF(M696&lt;50, 6.5,
IF(M696&lt;79, 6.75,
VALUE(SUBSTITUTE(
INDEX(RESUMO!$J$2:$J$100, MATCH(1,
(D696&gt;=RESUMO!$H$2:$H$100)*(D696&lt;=RESUMO!$I$2:$I$100)*(M696&gt;=RESUMO!$K$2:$K$100)*(M696&lt;=RESUMO!$L$2:$L$100),
0)), "R$ ", ""))
))))</f>
        <v>0</v>
      </c>
      <c r="P696" s="9"/>
      <c r="Q696" s="10" t="e">
        <f t="shared" si="160"/>
        <v>#DIV/0!</v>
      </c>
      <c r="R696" s="5">
        <f t="shared" si="161"/>
        <v>-5.6891999999999996</v>
      </c>
      <c r="S696" s="5">
        <f t="shared" si="162"/>
        <v>-147.91919999999999</v>
      </c>
      <c r="T696" s="5">
        <f t="shared" si="163"/>
        <v>-5.6891999999999996</v>
      </c>
      <c r="U696" s="5">
        <f t="shared" si="164"/>
        <v>-147.91919999999999</v>
      </c>
    </row>
    <row r="697" spans="1:21" x14ac:dyDescent="0.25">
      <c r="A697" s="11"/>
      <c r="B697" s="6" t="s">
        <v>755</v>
      </c>
      <c r="C697" s="9">
        <v>78.61</v>
      </c>
      <c r="D697" s="6"/>
      <c r="E697" s="8">
        <v>0.04</v>
      </c>
      <c r="F697" s="49">
        <v>0</v>
      </c>
      <c r="G697" s="9">
        <v>0</v>
      </c>
      <c r="H697" s="9"/>
      <c r="I697" s="48"/>
      <c r="J697" s="78" cm="1">
        <f t="array" ref="J697">IF(H697&lt;12.5, H697/2,
IF(H697&lt;29, 6.25,
IF(H697&lt;50, 6.5,
IF(H697&lt;79, 6.75,
VALUE(SUBSTITUTE(
INDEX(RESUMO!$J$2:$J$100, MATCH(1,
(D697&gt;=RESUMO!$H$2:$H$100)*(D697&lt;=RESUMO!$I$2:$I$100)*(H697&gt;=RESUMO!$K$2:$K$100)*(H697&lt;=RESUMO!$L$2:$L$100),
0)), "R$ ", ""))
))))</f>
        <v>0</v>
      </c>
      <c r="K697" s="9"/>
      <c r="L697" s="10" t="e">
        <f t="shared" si="159"/>
        <v>#DIV/0!</v>
      </c>
      <c r="M697" s="7"/>
      <c r="N697" s="48"/>
      <c r="O697" s="78" cm="1">
        <f t="array" ref="O697">IF(M697&lt;12.5, 0,
IF(M697&lt;29, 6.25,
IF(M697&lt;50, 6.5,
IF(M697&lt;79, 6.75,
VALUE(SUBSTITUTE(
INDEX(RESUMO!$J$2:$J$100, MATCH(1,
(D697&gt;=RESUMO!$H$2:$H$100)*(D697&lt;=RESUMO!$I$2:$I$100)*(M697&gt;=RESUMO!$K$2:$K$100)*(M697&lt;=RESUMO!$L$2:$L$100),
0)), "R$ ", ""))
))))</f>
        <v>0</v>
      </c>
      <c r="P697" s="9"/>
      <c r="Q697" s="10" t="e">
        <f t="shared" si="160"/>
        <v>#DIV/0!</v>
      </c>
      <c r="R697" s="5">
        <f t="shared" si="161"/>
        <v>-3.1444000000000001</v>
      </c>
      <c r="S697" s="5">
        <f t="shared" si="162"/>
        <v>-81.754400000000004</v>
      </c>
      <c r="T697" s="5">
        <f t="shared" si="163"/>
        <v>-3.1444000000000001</v>
      </c>
      <c r="U697" s="5">
        <f t="shared" si="164"/>
        <v>-81.754400000000004</v>
      </c>
    </row>
    <row r="698" spans="1:21" x14ac:dyDescent="0.25">
      <c r="A698" s="11"/>
      <c r="B698" s="6" t="s">
        <v>756</v>
      </c>
      <c r="C698" s="9">
        <v>78.510000000000005</v>
      </c>
      <c r="D698" s="6"/>
      <c r="E698" s="8">
        <v>0.04</v>
      </c>
      <c r="F698" s="49">
        <v>0</v>
      </c>
      <c r="G698" s="9">
        <v>0</v>
      </c>
      <c r="H698" s="9"/>
      <c r="I698" s="48"/>
      <c r="J698" s="78" cm="1">
        <f t="array" ref="J698">IF(H698&lt;12.5, H698/2,
IF(H698&lt;29, 6.25,
IF(H698&lt;50, 6.5,
IF(H698&lt;79, 6.75,
VALUE(SUBSTITUTE(
INDEX(RESUMO!$J$2:$J$100, MATCH(1,
(D698&gt;=RESUMO!$H$2:$H$100)*(D698&lt;=RESUMO!$I$2:$I$100)*(H698&gt;=RESUMO!$K$2:$K$100)*(H698&lt;=RESUMO!$L$2:$L$100),
0)), "R$ ", ""))
))))</f>
        <v>0</v>
      </c>
      <c r="K698" s="9"/>
      <c r="L698" s="10" t="e">
        <f t="shared" si="159"/>
        <v>#DIV/0!</v>
      </c>
      <c r="M698" s="7"/>
      <c r="N698" s="48"/>
      <c r="O698" s="78" cm="1">
        <f t="array" ref="O698">IF(M698&lt;12.5, 0,
IF(M698&lt;29, 6.25,
IF(M698&lt;50, 6.5,
IF(M698&lt;79, 6.75,
VALUE(SUBSTITUTE(
INDEX(RESUMO!$J$2:$J$100, MATCH(1,
(D698&gt;=RESUMO!$H$2:$H$100)*(D698&lt;=RESUMO!$I$2:$I$100)*(M698&gt;=RESUMO!$K$2:$K$100)*(M698&lt;=RESUMO!$L$2:$L$100),
0)), "R$ ", ""))
))))</f>
        <v>0</v>
      </c>
      <c r="P698" s="9"/>
      <c r="Q698" s="10" t="e">
        <f t="shared" si="160"/>
        <v>#DIV/0!</v>
      </c>
      <c r="R698" s="5">
        <f t="shared" si="161"/>
        <v>-3.1404000000000001</v>
      </c>
      <c r="S698" s="5">
        <f t="shared" si="162"/>
        <v>-81.650400000000005</v>
      </c>
      <c r="T698" s="5">
        <f t="shared" si="163"/>
        <v>-3.1404000000000001</v>
      </c>
      <c r="U698" s="5">
        <f t="shared" si="164"/>
        <v>-81.650400000000005</v>
      </c>
    </row>
    <row r="699" spans="1:21" x14ac:dyDescent="0.25">
      <c r="A699" s="11"/>
      <c r="B699" s="6" t="s">
        <v>757</v>
      </c>
      <c r="C699" s="9">
        <v>106.54</v>
      </c>
      <c r="D699" s="6"/>
      <c r="E699" s="8">
        <v>0.04</v>
      </c>
      <c r="F699" s="49">
        <v>0</v>
      </c>
      <c r="G699" s="9">
        <v>0</v>
      </c>
      <c r="H699" s="9"/>
      <c r="I699" s="48"/>
      <c r="J699" s="78" cm="1">
        <f t="array" ref="J699">IF(H699&lt;12.5, H699/2,
IF(H699&lt;29, 6.25,
IF(H699&lt;50, 6.5,
IF(H699&lt;79, 6.75,
VALUE(SUBSTITUTE(
INDEX(RESUMO!$J$2:$J$100, MATCH(1,
(D699&gt;=RESUMO!$H$2:$H$100)*(D699&lt;=RESUMO!$I$2:$I$100)*(H699&gt;=RESUMO!$K$2:$K$100)*(H699&lt;=RESUMO!$L$2:$L$100),
0)), "R$ ", ""))
))))</f>
        <v>0</v>
      </c>
      <c r="K699" s="9"/>
      <c r="L699" s="10" t="e">
        <f t="shared" si="159"/>
        <v>#DIV/0!</v>
      </c>
      <c r="M699" s="7"/>
      <c r="N699" s="48"/>
      <c r="O699" s="78" cm="1">
        <f t="array" ref="O699">IF(M699&lt;12.5, 0,
IF(M699&lt;29, 6.25,
IF(M699&lt;50, 6.5,
IF(M699&lt;79, 6.75,
VALUE(SUBSTITUTE(
INDEX(RESUMO!$J$2:$J$100, MATCH(1,
(D699&gt;=RESUMO!$H$2:$H$100)*(D699&lt;=RESUMO!$I$2:$I$100)*(M699&gt;=RESUMO!$K$2:$K$100)*(M699&lt;=RESUMO!$L$2:$L$100),
0)), "R$ ", ""))
))))</f>
        <v>0</v>
      </c>
      <c r="P699" s="9"/>
      <c r="Q699" s="10" t="e">
        <f t="shared" si="160"/>
        <v>#DIV/0!</v>
      </c>
      <c r="R699" s="5">
        <f t="shared" si="161"/>
        <v>-4.2616000000000005</v>
      </c>
      <c r="S699" s="5">
        <f t="shared" si="162"/>
        <v>-110.80160000000001</v>
      </c>
      <c r="T699" s="5">
        <f t="shared" si="163"/>
        <v>-4.2616000000000005</v>
      </c>
      <c r="U699" s="5">
        <f t="shared" si="164"/>
        <v>-110.80160000000001</v>
      </c>
    </row>
    <row r="700" spans="1:21" x14ac:dyDescent="0.25">
      <c r="A700" s="11"/>
      <c r="B700" s="6" t="s">
        <v>758</v>
      </c>
      <c r="C700" s="9">
        <v>106.54</v>
      </c>
      <c r="D700" s="6"/>
      <c r="E700" s="8">
        <v>0.04</v>
      </c>
      <c r="F700" s="49">
        <v>0</v>
      </c>
      <c r="G700" s="9">
        <v>0</v>
      </c>
      <c r="H700" s="9"/>
      <c r="I700" s="48"/>
      <c r="J700" s="78" cm="1">
        <f t="array" ref="J700">IF(H700&lt;12.5, H700/2,
IF(H700&lt;29, 6.25,
IF(H700&lt;50, 6.5,
IF(H700&lt;79, 6.75,
VALUE(SUBSTITUTE(
INDEX(RESUMO!$J$2:$J$100, MATCH(1,
(D700&gt;=RESUMO!$H$2:$H$100)*(D700&lt;=RESUMO!$I$2:$I$100)*(H700&gt;=RESUMO!$K$2:$K$100)*(H700&lt;=RESUMO!$L$2:$L$100),
0)), "R$ ", ""))
))))</f>
        <v>0</v>
      </c>
      <c r="K700" s="9"/>
      <c r="L700" s="10" t="e">
        <f t="shared" si="159"/>
        <v>#DIV/0!</v>
      </c>
      <c r="M700" s="7"/>
      <c r="N700" s="48"/>
      <c r="O700" s="78" cm="1">
        <f t="array" ref="O700">IF(M700&lt;12.5, 0,
IF(M700&lt;29, 6.25,
IF(M700&lt;50, 6.5,
IF(M700&lt;79, 6.75,
VALUE(SUBSTITUTE(
INDEX(RESUMO!$J$2:$J$100, MATCH(1,
(D700&gt;=RESUMO!$H$2:$H$100)*(D700&lt;=RESUMO!$I$2:$I$100)*(M700&gt;=RESUMO!$K$2:$K$100)*(M700&lt;=RESUMO!$L$2:$L$100),
0)), "R$ ", ""))
))))</f>
        <v>0</v>
      </c>
      <c r="P700" s="9"/>
      <c r="Q700" s="10" t="e">
        <f t="shared" si="160"/>
        <v>#DIV/0!</v>
      </c>
      <c r="R700" s="5">
        <f t="shared" si="161"/>
        <v>-4.2616000000000005</v>
      </c>
      <c r="S700" s="5">
        <f t="shared" si="162"/>
        <v>-110.80160000000001</v>
      </c>
      <c r="T700" s="5">
        <f t="shared" si="163"/>
        <v>-4.2616000000000005</v>
      </c>
      <c r="U700" s="5">
        <f t="shared" si="164"/>
        <v>-110.80160000000001</v>
      </c>
    </row>
    <row r="701" spans="1:21" x14ac:dyDescent="0.25">
      <c r="A701" s="11"/>
      <c r="B701" s="6" t="s">
        <v>759</v>
      </c>
      <c r="C701" s="9">
        <v>111.54</v>
      </c>
      <c r="D701" s="6"/>
      <c r="E701" s="8">
        <v>0.04</v>
      </c>
      <c r="F701" s="49">
        <v>0</v>
      </c>
      <c r="G701" s="9">
        <v>0</v>
      </c>
      <c r="H701" s="9"/>
      <c r="I701" s="48"/>
      <c r="J701" s="78" cm="1">
        <f t="array" ref="J701">IF(H701&lt;12.5, H701/2,
IF(H701&lt;29, 6.25,
IF(H701&lt;50, 6.5,
IF(H701&lt;79, 6.75,
VALUE(SUBSTITUTE(
INDEX(RESUMO!$J$2:$J$100, MATCH(1,
(D701&gt;=RESUMO!$H$2:$H$100)*(D701&lt;=RESUMO!$I$2:$I$100)*(H701&gt;=RESUMO!$K$2:$K$100)*(H701&lt;=RESUMO!$L$2:$L$100),
0)), "R$ ", ""))
))))</f>
        <v>0</v>
      </c>
      <c r="K701" s="9"/>
      <c r="L701" s="10" t="e">
        <f t="shared" si="159"/>
        <v>#DIV/0!</v>
      </c>
      <c r="M701" s="7"/>
      <c r="N701" s="48"/>
      <c r="O701" s="78" cm="1">
        <f t="array" ref="O701">IF(M701&lt;12.5, 0,
IF(M701&lt;29, 6.25,
IF(M701&lt;50, 6.5,
IF(M701&lt;79, 6.75,
VALUE(SUBSTITUTE(
INDEX(RESUMO!$J$2:$J$100, MATCH(1,
(D701&gt;=RESUMO!$H$2:$H$100)*(D701&lt;=RESUMO!$I$2:$I$100)*(M701&gt;=RESUMO!$K$2:$K$100)*(M701&lt;=RESUMO!$L$2:$L$100),
0)), "R$ ", ""))
))))</f>
        <v>0</v>
      </c>
      <c r="P701" s="9"/>
      <c r="Q701" s="10" t="e">
        <f t="shared" si="160"/>
        <v>#DIV/0!</v>
      </c>
      <c r="R701" s="5">
        <f t="shared" si="161"/>
        <v>-4.4616000000000007</v>
      </c>
      <c r="S701" s="5">
        <f t="shared" si="162"/>
        <v>-116.00160000000001</v>
      </c>
      <c r="T701" s="5">
        <f t="shared" si="163"/>
        <v>-4.4616000000000007</v>
      </c>
      <c r="U701" s="5">
        <f t="shared" si="164"/>
        <v>-116.00160000000001</v>
      </c>
    </row>
    <row r="702" spans="1:21" x14ac:dyDescent="0.25">
      <c r="A702" s="11"/>
      <c r="B702" s="6" t="s">
        <v>760</v>
      </c>
      <c r="C702" s="9">
        <v>142.22999999999999</v>
      </c>
      <c r="D702" s="6"/>
      <c r="E702" s="8">
        <v>0.04</v>
      </c>
      <c r="F702" s="49">
        <v>0</v>
      </c>
      <c r="G702" s="9">
        <v>0</v>
      </c>
      <c r="H702" s="9"/>
      <c r="I702" s="48"/>
      <c r="J702" s="78" cm="1">
        <f t="array" ref="J702">IF(H702&lt;12.5, H702/2,
IF(H702&lt;29, 6.25,
IF(H702&lt;50, 6.5,
IF(H702&lt;79, 6.75,
VALUE(SUBSTITUTE(
INDEX(RESUMO!$J$2:$J$100, MATCH(1,
(D702&gt;=RESUMO!$H$2:$H$100)*(D702&lt;=RESUMO!$I$2:$I$100)*(H702&gt;=RESUMO!$K$2:$K$100)*(H702&lt;=RESUMO!$L$2:$L$100),
0)), "R$ ", ""))
))))</f>
        <v>0</v>
      </c>
      <c r="K702" s="9"/>
      <c r="L702" s="10" t="e">
        <f t="shared" si="159"/>
        <v>#DIV/0!</v>
      </c>
      <c r="M702" s="7"/>
      <c r="N702" s="48"/>
      <c r="O702" s="78" cm="1">
        <f t="array" ref="O702">IF(M702&lt;12.5, 0,
IF(M702&lt;29, 6.25,
IF(M702&lt;50, 6.5,
IF(M702&lt;79, 6.75,
VALUE(SUBSTITUTE(
INDEX(RESUMO!$J$2:$J$100, MATCH(1,
(D702&gt;=RESUMO!$H$2:$H$100)*(D702&lt;=RESUMO!$I$2:$I$100)*(M702&gt;=RESUMO!$K$2:$K$100)*(M702&lt;=RESUMO!$L$2:$L$100),
0)), "R$ ", ""))
))))</f>
        <v>0</v>
      </c>
      <c r="P702" s="9"/>
      <c r="Q702" s="10" t="e">
        <f t="shared" si="160"/>
        <v>#DIV/0!</v>
      </c>
      <c r="R702" s="5">
        <f t="shared" si="161"/>
        <v>-5.6891999999999996</v>
      </c>
      <c r="S702" s="5">
        <f t="shared" si="162"/>
        <v>-147.91919999999999</v>
      </c>
      <c r="T702" s="5">
        <f t="shared" si="163"/>
        <v>-5.6891999999999996</v>
      </c>
      <c r="U702" s="5">
        <f t="shared" si="164"/>
        <v>-147.91919999999999</v>
      </c>
    </row>
    <row r="703" spans="1:21" x14ac:dyDescent="0.25">
      <c r="A703" s="11"/>
      <c r="B703" s="6" t="s">
        <v>761</v>
      </c>
      <c r="C703" s="9">
        <v>114.68</v>
      </c>
      <c r="D703" s="6"/>
      <c r="E703" s="8">
        <v>0.04</v>
      </c>
      <c r="F703" s="49">
        <v>0</v>
      </c>
      <c r="G703" s="9">
        <v>0</v>
      </c>
      <c r="H703" s="9"/>
      <c r="I703" s="48"/>
      <c r="J703" s="78" cm="1">
        <f t="array" ref="J703">IF(H703&lt;12.5, H703/2,
IF(H703&lt;29, 6.25,
IF(H703&lt;50, 6.5,
IF(H703&lt;79, 6.75,
VALUE(SUBSTITUTE(
INDEX(RESUMO!$J$2:$J$100, MATCH(1,
(D703&gt;=RESUMO!$H$2:$H$100)*(D703&lt;=RESUMO!$I$2:$I$100)*(H703&gt;=RESUMO!$K$2:$K$100)*(H703&lt;=RESUMO!$L$2:$L$100),
0)), "R$ ", ""))
))))</f>
        <v>0</v>
      </c>
      <c r="K703" s="9"/>
      <c r="L703" s="10" t="e">
        <f t="shared" si="159"/>
        <v>#DIV/0!</v>
      </c>
      <c r="M703" s="7"/>
      <c r="N703" s="48"/>
      <c r="O703" s="78" cm="1">
        <f t="array" ref="O703">IF(M703&lt;12.5, 0,
IF(M703&lt;29, 6.25,
IF(M703&lt;50, 6.5,
IF(M703&lt;79, 6.75,
VALUE(SUBSTITUTE(
INDEX(RESUMO!$J$2:$J$100, MATCH(1,
(D703&gt;=RESUMO!$H$2:$H$100)*(D703&lt;=RESUMO!$I$2:$I$100)*(M703&gt;=RESUMO!$K$2:$K$100)*(M703&lt;=RESUMO!$L$2:$L$100),
0)), "R$ ", ""))
))))</f>
        <v>0</v>
      </c>
      <c r="P703" s="9"/>
      <c r="Q703" s="10" t="e">
        <f t="shared" si="160"/>
        <v>#DIV/0!</v>
      </c>
      <c r="R703" s="5">
        <f t="shared" si="161"/>
        <v>-4.5872000000000002</v>
      </c>
      <c r="S703" s="5">
        <f t="shared" si="162"/>
        <v>-119.2672</v>
      </c>
      <c r="T703" s="5">
        <f t="shared" si="163"/>
        <v>-4.5872000000000002</v>
      </c>
      <c r="U703" s="5">
        <f t="shared" si="164"/>
        <v>-119.2672</v>
      </c>
    </row>
    <row r="704" spans="1:21" x14ac:dyDescent="0.25">
      <c r="A704" s="11"/>
      <c r="B704" s="6" t="s">
        <v>762</v>
      </c>
      <c r="C704" s="9">
        <v>93.5</v>
      </c>
      <c r="D704" s="6"/>
      <c r="E704" s="8">
        <v>0.04</v>
      </c>
      <c r="F704" s="49">
        <v>0</v>
      </c>
      <c r="G704" s="9">
        <v>0</v>
      </c>
      <c r="H704" s="9"/>
      <c r="I704" s="48"/>
      <c r="J704" s="78" cm="1">
        <f t="array" ref="J704">IF(H704&lt;12.5, H704/2,
IF(H704&lt;29, 6.25,
IF(H704&lt;50, 6.5,
IF(H704&lt;79, 6.75,
VALUE(SUBSTITUTE(
INDEX(RESUMO!$J$2:$J$100, MATCH(1,
(D704&gt;=RESUMO!$H$2:$H$100)*(D704&lt;=RESUMO!$I$2:$I$100)*(H704&gt;=RESUMO!$K$2:$K$100)*(H704&lt;=RESUMO!$L$2:$L$100),
0)), "R$ ", ""))
))))</f>
        <v>0</v>
      </c>
      <c r="K704" s="9"/>
      <c r="L704" s="10" t="e">
        <f t="shared" si="159"/>
        <v>#DIV/0!</v>
      </c>
      <c r="M704" s="7"/>
      <c r="N704" s="48"/>
      <c r="O704" s="78" cm="1">
        <f t="array" ref="O704">IF(M704&lt;12.5, 0,
IF(M704&lt;29, 6.25,
IF(M704&lt;50, 6.5,
IF(M704&lt;79, 6.75,
VALUE(SUBSTITUTE(
INDEX(RESUMO!$J$2:$J$100, MATCH(1,
(D704&gt;=RESUMO!$H$2:$H$100)*(D704&lt;=RESUMO!$I$2:$I$100)*(M704&gt;=RESUMO!$K$2:$K$100)*(M704&lt;=RESUMO!$L$2:$L$100),
0)), "R$ ", ""))
))))</f>
        <v>0</v>
      </c>
      <c r="P704" s="9"/>
      <c r="Q704" s="10" t="e">
        <f t="shared" si="160"/>
        <v>#DIV/0!</v>
      </c>
      <c r="R704" s="5">
        <f t="shared" si="161"/>
        <v>-3.74</v>
      </c>
      <c r="S704" s="5">
        <f t="shared" si="162"/>
        <v>-97.24</v>
      </c>
      <c r="T704" s="5">
        <f t="shared" si="163"/>
        <v>-3.74</v>
      </c>
      <c r="U704" s="5">
        <f t="shared" si="164"/>
        <v>-97.24</v>
      </c>
    </row>
    <row r="705" spans="1:21" x14ac:dyDescent="0.25">
      <c r="A705" s="11"/>
      <c r="B705" s="6" t="s">
        <v>763</v>
      </c>
      <c r="C705" s="9">
        <v>111.54</v>
      </c>
      <c r="D705" s="6"/>
      <c r="E705" s="8">
        <v>0.04</v>
      </c>
      <c r="F705" s="49">
        <v>0</v>
      </c>
      <c r="G705" s="9">
        <v>0</v>
      </c>
      <c r="H705" s="9"/>
      <c r="I705" s="48"/>
      <c r="J705" s="78" cm="1">
        <f t="array" ref="J705">IF(H705&lt;12.5, H705/2,
IF(H705&lt;29, 6.25,
IF(H705&lt;50, 6.5,
IF(H705&lt;79, 6.75,
VALUE(SUBSTITUTE(
INDEX(RESUMO!$J$2:$J$100, MATCH(1,
(D705&gt;=RESUMO!$H$2:$H$100)*(D705&lt;=RESUMO!$I$2:$I$100)*(H705&gt;=RESUMO!$K$2:$K$100)*(H705&lt;=RESUMO!$L$2:$L$100),
0)), "R$ ", ""))
))))</f>
        <v>0</v>
      </c>
      <c r="K705" s="9"/>
      <c r="L705" s="10" t="e">
        <f t="shared" si="159"/>
        <v>#DIV/0!</v>
      </c>
      <c r="M705" s="7"/>
      <c r="N705" s="48"/>
      <c r="O705" s="78" cm="1">
        <f t="array" ref="O705">IF(M705&lt;12.5, 0,
IF(M705&lt;29, 6.25,
IF(M705&lt;50, 6.5,
IF(M705&lt;79, 6.75,
VALUE(SUBSTITUTE(
INDEX(RESUMO!$J$2:$J$100, MATCH(1,
(D705&gt;=RESUMO!$H$2:$H$100)*(D705&lt;=RESUMO!$I$2:$I$100)*(M705&gt;=RESUMO!$K$2:$K$100)*(M705&lt;=RESUMO!$L$2:$L$100),
0)), "R$ ", ""))
))))</f>
        <v>0</v>
      </c>
      <c r="P705" s="9"/>
      <c r="Q705" s="10" t="e">
        <f t="shared" si="160"/>
        <v>#DIV/0!</v>
      </c>
      <c r="R705" s="5">
        <f t="shared" si="161"/>
        <v>-4.4616000000000007</v>
      </c>
      <c r="S705" s="5">
        <f t="shared" si="162"/>
        <v>-116.00160000000001</v>
      </c>
      <c r="T705" s="5">
        <f t="shared" si="163"/>
        <v>-4.4616000000000007</v>
      </c>
      <c r="U705" s="5">
        <f t="shared" si="164"/>
        <v>-116.00160000000001</v>
      </c>
    </row>
    <row r="706" spans="1:21" x14ac:dyDescent="0.25">
      <c r="A706" s="11"/>
      <c r="B706" s="6" t="s">
        <v>764</v>
      </c>
      <c r="C706" s="9">
        <v>111.54</v>
      </c>
      <c r="D706" s="6"/>
      <c r="E706" s="8">
        <v>0.04</v>
      </c>
      <c r="F706" s="49">
        <v>0</v>
      </c>
      <c r="G706" s="9">
        <v>0</v>
      </c>
      <c r="H706" s="9"/>
      <c r="I706" s="48"/>
      <c r="J706" s="78" cm="1">
        <f t="array" ref="J706">IF(H706&lt;12.5, H706/2,
IF(H706&lt;29, 6.25,
IF(H706&lt;50, 6.5,
IF(H706&lt;79, 6.75,
VALUE(SUBSTITUTE(
INDEX(RESUMO!$J$2:$J$100, MATCH(1,
(D706&gt;=RESUMO!$H$2:$H$100)*(D706&lt;=RESUMO!$I$2:$I$100)*(H706&gt;=RESUMO!$K$2:$K$100)*(H706&lt;=RESUMO!$L$2:$L$100),
0)), "R$ ", ""))
))))</f>
        <v>0</v>
      </c>
      <c r="K706" s="9"/>
      <c r="L706" s="10" t="e">
        <f t="shared" si="159"/>
        <v>#DIV/0!</v>
      </c>
      <c r="M706" s="7"/>
      <c r="N706" s="48"/>
      <c r="O706" s="78" cm="1">
        <f t="array" ref="O706">IF(M706&lt;12.5, 0,
IF(M706&lt;29, 6.25,
IF(M706&lt;50, 6.5,
IF(M706&lt;79, 6.75,
VALUE(SUBSTITUTE(
INDEX(RESUMO!$J$2:$J$100, MATCH(1,
(D706&gt;=RESUMO!$H$2:$H$100)*(D706&lt;=RESUMO!$I$2:$I$100)*(M706&gt;=RESUMO!$K$2:$K$100)*(M706&lt;=RESUMO!$L$2:$L$100),
0)), "R$ ", ""))
))))</f>
        <v>0</v>
      </c>
      <c r="P706" s="9"/>
      <c r="Q706" s="10" t="e">
        <f t="shared" si="160"/>
        <v>#DIV/0!</v>
      </c>
      <c r="R706" s="5">
        <f t="shared" si="161"/>
        <v>-4.4616000000000007</v>
      </c>
      <c r="S706" s="5">
        <f t="shared" si="162"/>
        <v>-116.00160000000001</v>
      </c>
      <c r="T706" s="5">
        <f t="shared" si="163"/>
        <v>-4.4616000000000007</v>
      </c>
      <c r="U706" s="5">
        <f t="shared" si="164"/>
        <v>-116.00160000000001</v>
      </c>
    </row>
    <row r="707" spans="1:21" x14ac:dyDescent="0.25">
      <c r="A707" s="11"/>
      <c r="B707" s="6" t="s">
        <v>765</v>
      </c>
      <c r="C707" s="9">
        <v>120.6</v>
      </c>
      <c r="D707" s="6"/>
      <c r="E707" s="8">
        <v>0.04</v>
      </c>
      <c r="F707" s="49">
        <v>0</v>
      </c>
      <c r="G707" s="9">
        <v>0</v>
      </c>
      <c r="H707" s="9"/>
      <c r="I707" s="48"/>
      <c r="J707" s="78" cm="1">
        <f t="array" ref="J707">IF(H707&lt;12.5, H707/2,
IF(H707&lt;29, 6.25,
IF(H707&lt;50, 6.5,
IF(H707&lt;79, 6.75,
VALUE(SUBSTITUTE(
INDEX(RESUMO!$J$2:$J$100, MATCH(1,
(D707&gt;=RESUMO!$H$2:$H$100)*(D707&lt;=RESUMO!$I$2:$I$100)*(H707&gt;=RESUMO!$K$2:$K$100)*(H707&lt;=RESUMO!$L$2:$L$100),
0)), "R$ ", ""))
))))</f>
        <v>0</v>
      </c>
      <c r="K707" s="9"/>
      <c r="L707" s="10" t="e">
        <f t="shared" si="159"/>
        <v>#DIV/0!</v>
      </c>
      <c r="M707" s="7"/>
      <c r="N707" s="48"/>
      <c r="O707" s="78" cm="1">
        <f t="array" ref="O707">IF(M707&lt;12.5, 0,
IF(M707&lt;29, 6.25,
IF(M707&lt;50, 6.5,
IF(M707&lt;79, 6.75,
VALUE(SUBSTITUTE(
INDEX(RESUMO!$J$2:$J$100, MATCH(1,
(D707&gt;=RESUMO!$H$2:$H$100)*(D707&lt;=RESUMO!$I$2:$I$100)*(M707&gt;=RESUMO!$K$2:$K$100)*(M707&lt;=RESUMO!$L$2:$L$100),
0)), "R$ ", ""))
))))</f>
        <v>0</v>
      </c>
      <c r="P707" s="9"/>
      <c r="Q707" s="10" t="e">
        <f t="shared" si="160"/>
        <v>#DIV/0!</v>
      </c>
      <c r="R707" s="5">
        <f t="shared" si="161"/>
        <v>-4.8239999999999998</v>
      </c>
      <c r="S707" s="5">
        <f t="shared" si="162"/>
        <v>-125.42399999999999</v>
      </c>
      <c r="T707" s="5">
        <f t="shared" si="163"/>
        <v>-4.8239999999999998</v>
      </c>
      <c r="U707" s="5">
        <f t="shared" si="164"/>
        <v>-125.42399999999999</v>
      </c>
    </row>
    <row r="708" spans="1:21" x14ac:dyDescent="0.25">
      <c r="A708" s="11"/>
      <c r="B708" s="6" t="s">
        <v>766</v>
      </c>
      <c r="C708" s="9">
        <v>93.5</v>
      </c>
      <c r="D708" s="6"/>
      <c r="E708" s="8">
        <v>0.04</v>
      </c>
      <c r="F708" s="49">
        <v>0</v>
      </c>
      <c r="G708" s="9">
        <v>0</v>
      </c>
      <c r="H708" s="9"/>
      <c r="I708" s="48"/>
      <c r="J708" s="78" cm="1">
        <f t="array" ref="J708">IF(H708&lt;12.5, H708/2,
IF(H708&lt;29, 6.25,
IF(H708&lt;50, 6.5,
IF(H708&lt;79, 6.75,
VALUE(SUBSTITUTE(
INDEX(RESUMO!$J$2:$J$100, MATCH(1,
(D708&gt;=RESUMO!$H$2:$H$100)*(D708&lt;=RESUMO!$I$2:$I$100)*(H708&gt;=RESUMO!$K$2:$K$100)*(H708&lt;=RESUMO!$L$2:$L$100),
0)), "R$ ", ""))
))))</f>
        <v>0</v>
      </c>
      <c r="K708" s="9"/>
      <c r="L708" s="10" t="e">
        <f t="shared" si="159"/>
        <v>#DIV/0!</v>
      </c>
      <c r="M708" s="7"/>
      <c r="N708" s="48"/>
      <c r="O708" s="78" cm="1">
        <f t="array" ref="O708">IF(M708&lt;12.5, 0,
IF(M708&lt;29, 6.25,
IF(M708&lt;50, 6.5,
IF(M708&lt;79, 6.75,
VALUE(SUBSTITUTE(
INDEX(RESUMO!$J$2:$J$100, MATCH(1,
(D708&gt;=RESUMO!$H$2:$H$100)*(D708&lt;=RESUMO!$I$2:$I$100)*(M708&gt;=RESUMO!$K$2:$K$100)*(M708&lt;=RESUMO!$L$2:$L$100),
0)), "R$ ", ""))
))))</f>
        <v>0</v>
      </c>
      <c r="P708" s="9"/>
      <c r="Q708" s="10" t="e">
        <f t="shared" si="160"/>
        <v>#DIV/0!</v>
      </c>
      <c r="R708" s="5">
        <f t="shared" si="161"/>
        <v>-3.74</v>
      </c>
      <c r="S708" s="5">
        <f t="shared" si="162"/>
        <v>-97.24</v>
      </c>
      <c r="T708" s="5">
        <f t="shared" si="163"/>
        <v>-3.74</v>
      </c>
      <c r="U708" s="5">
        <f t="shared" si="164"/>
        <v>-97.24</v>
      </c>
    </row>
    <row r="709" spans="1:21" x14ac:dyDescent="0.25">
      <c r="A709" s="11"/>
      <c r="B709" s="6" t="s">
        <v>767</v>
      </c>
      <c r="C709" s="9">
        <v>123.27</v>
      </c>
      <c r="D709" s="6"/>
      <c r="E709" s="8">
        <v>0.04</v>
      </c>
      <c r="F709" s="49">
        <v>0</v>
      </c>
      <c r="G709" s="9">
        <v>0</v>
      </c>
      <c r="H709" s="9"/>
      <c r="I709" s="48"/>
      <c r="J709" s="78" cm="1">
        <f t="array" ref="J709">IF(H709&lt;12.5, H709/2,
IF(H709&lt;29, 6.25,
IF(H709&lt;50, 6.5,
IF(H709&lt;79, 6.75,
VALUE(SUBSTITUTE(
INDEX(RESUMO!$J$2:$J$100, MATCH(1,
(D709&gt;=RESUMO!$H$2:$H$100)*(D709&lt;=RESUMO!$I$2:$I$100)*(H709&gt;=RESUMO!$K$2:$K$100)*(H709&lt;=RESUMO!$L$2:$L$100),
0)), "R$ ", ""))
))))</f>
        <v>0</v>
      </c>
      <c r="K709" s="9"/>
      <c r="L709" s="10" t="e">
        <f t="shared" si="159"/>
        <v>#DIV/0!</v>
      </c>
      <c r="M709" s="7"/>
      <c r="N709" s="48"/>
      <c r="O709" s="78" cm="1">
        <f t="array" ref="O709">IF(M709&lt;12.5, 0,
IF(M709&lt;29, 6.25,
IF(M709&lt;50, 6.5,
IF(M709&lt;79, 6.75,
VALUE(SUBSTITUTE(
INDEX(RESUMO!$J$2:$J$100, MATCH(1,
(D709&gt;=RESUMO!$H$2:$H$100)*(D709&lt;=RESUMO!$I$2:$I$100)*(M709&gt;=RESUMO!$K$2:$K$100)*(M709&lt;=RESUMO!$L$2:$L$100),
0)), "R$ ", ""))
))))</f>
        <v>0</v>
      </c>
      <c r="P709" s="9"/>
      <c r="Q709" s="10" t="e">
        <f t="shared" si="160"/>
        <v>#DIV/0!</v>
      </c>
      <c r="R709" s="5">
        <f t="shared" si="161"/>
        <v>-4.9307999999999996</v>
      </c>
      <c r="S709" s="5">
        <f t="shared" si="162"/>
        <v>-128.20079999999999</v>
      </c>
      <c r="T709" s="5">
        <f t="shared" si="163"/>
        <v>-4.9307999999999996</v>
      </c>
      <c r="U709" s="5">
        <f t="shared" si="164"/>
        <v>-128.20079999999999</v>
      </c>
    </row>
    <row r="710" spans="1:21" x14ac:dyDescent="0.25">
      <c r="A710" s="11"/>
      <c r="B710" s="6" t="s">
        <v>768</v>
      </c>
      <c r="C710" s="9">
        <v>355.21</v>
      </c>
      <c r="D710" s="6"/>
      <c r="E710" s="8">
        <v>0.04</v>
      </c>
      <c r="F710" s="49">
        <v>0</v>
      </c>
      <c r="G710" s="9">
        <v>0</v>
      </c>
      <c r="H710" s="9"/>
      <c r="I710" s="48"/>
      <c r="J710" s="78" cm="1">
        <f t="array" ref="J710">IF(H710&lt;12.5, H710/2,
IF(H710&lt;29, 6.25,
IF(H710&lt;50, 6.5,
IF(H710&lt;79, 6.75,
VALUE(SUBSTITUTE(
INDEX(RESUMO!$J$2:$J$100, MATCH(1,
(D710&gt;=RESUMO!$H$2:$H$100)*(D710&lt;=RESUMO!$I$2:$I$100)*(H710&gt;=RESUMO!$K$2:$K$100)*(H710&lt;=RESUMO!$L$2:$L$100),
0)), "R$ ", ""))
))))</f>
        <v>0</v>
      </c>
      <c r="K710" s="9"/>
      <c r="L710" s="10" t="e">
        <f t="shared" si="159"/>
        <v>#DIV/0!</v>
      </c>
      <c r="M710" s="7"/>
      <c r="N710" s="48"/>
      <c r="O710" s="78" cm="1">
        <f t="array" ref="O710">IF(M710&lt;12.5, 0,
IF(M710&lt;29, 6.25,
IF(M710&lt;50, 6.5,
IF(M710&lt;79, 6.75,
VALUE(SUBSTITUTE(
INDEX(RESUMO!$J$2:$J$100, MATCH(1,
(D710&gt;=RESUMO!$H$2:$H$100)*(D710&lt;=RESUMO!$I$2:$I$100)*(M710&gt;=RESUMO!$K$2:$K$100)*(M710&lt;=RESUMO!$L$2:$L$100),
0)), "R$ ", ""))
))))</f>
        <v>0</v>
      </c>
      <c r="P710" s="9"/>
      <c r="Q710" s="10" t="e">
        <f t="shared" si="160"/>
        <v>#DIV/0!</v>
      </c>
      <c r="R710" s="5">
        <f t="shared" si="161"/>
        <v>-14.208399999999999</v>
      </c>
      <c r="S710" s="5">
        <f t="shared" si="162"/>
        <v>-369.41839999999996</v>
      </c>
      <c r="T710" s="5">
        <f t="shared" si="163"/>
        <v>-14.208399999999999</v>
      </c>
      <c r="U710" s="5">
        <f t="shared" si="164"/>
        <v>-369.41839999999996</v>
      </c>
    </row>
    <row r="711" spans="1:21" x14ac:dyDescent="0.25">
      <c r="A711" s="11"/>
      <c r="B711" s="6" t="s">
        <v>769</v>
      </c>
      <c r="C711" s="9">
        <v>254.34</v>
      </c>
      <c r="D711" s="6"/>
      <c r="E711" s="8">
        <v>0.04</v>
      </c>
      <c r="F711" s="49">
        <v>0</v>
      </c>
      <c r="G711" s="9">
        <v>0</v>
      </c>
      <c r="H711" s="9"/>
      <c r="I711" s="48"/>
      <c r="J711" s="78" cm="1">
        <f t="array" ref="J711">IF(H711&lt;12.5, H711/2,
IF(H711&lt;29, 6.25,
IF(H711&lt;50, 6.5,
IF(H711&lt;79, 6.75,
VALUE(SUBSTITUTE(
INDEX(RESUMO!$J$2:$J$100, MATCH(1,
(D711&gt;=RESUMO!$H$2:$H$100)*(D711&lt;=RESUMO!$I$2:$I$100)*(H711&gt;=RESUMO!$K$2:$K$100)*(H711&lt;=RESUMO!$L$2:$L$100),
0)), "R$ ", ""))
))))</f>
        <v>0</v>
      </c>
      <c r="K711" s="9"/>
      <c r="L711" s="10" t="e">
        <f t="shared" si="153"/>
        <v>#DIV/0!</v>
      </c>
      <c r="M711" s="7"/>
      <c r="N711" s="48"/>
      <c r="O711" s="78" cm="1">
        <f t="array" ref="O711">IF(M711&lt;12.5, 0,
IF(M711&lt;29, 6.25,
IF(M711&lt;50, 6.5,
IF(M711&lt;79, 6.75,
VALUE(SUBSTITUTE(
INDEX(RESUMO!$J$2:$J$100, MATCH(1,
(D711&gt;=RESUMO!$H$2:$H$100)*(D711&lt;=RESUMO!$I$2:$I$100)*(M711&gt;=RESUMO!$K$2:$K$100)*(M711&lt;=RESUMO!$L$2:$L$100),
0)), "R$ ", ""))
))))</f>
        <v>0</v>
      </c>
      <c r="P711" s="9"/>
      <c r="Q711" s="10" t="e">
        <f t="shared" si="154"/>
        <v>#DIV/0!</v>
      </c>
      <c r="R711" s="5">
        <f t="shared" si="155"/>
        <v>-10.1736</v>
      </c>
      <c r="S711" s="5">
        <f t="shared" si="156"/>
        <v>-264.5136</v>
      </c>
      <c r="T711" s="5">
        <f t="shared" si="157"/>
        <v>-10.1736</v>
      </c>
      <c r="U711" s="5">
        <f t="shared" si="158"/>
        <v>-264.5136</v>
      </c>
    </row>
    <row r="712" spans="1:21" x14ac:dyDescent="0.25">
      <c r="A712" s="11"/>
      <c r="B712" s="6" t="s">
        <v>770</v>
      </c>
      <c r="C712" s="9">
        <v>307.20999999999998</v>
      </c>
      <c r="D712" s="6"/>
      <c r="E712" s="8">
        <v>0.04</v>
      </c>
      <c r="F712" s="49">
        <v>0</v>
      </c>
      <c r="G712" s="9">
        <v>0</v>
      </c>
      <c r="H712" s="9"/>
      <c r="I712" s="48"/>
      <c r="J712" s="78" cm="1">
        <f t="array" ref="J712">IF(H712&lt;12.5, H712/2,
IF(H712&lt;29, 6.25,
IF(H712&lt;50, 6.5,
IF(H712&lt;79, 6.75,
VALUE(SUBSTITUTE(
INDEX(RESUMO!$J$2:$J$100, MATCH(1,
(D712&gt;=RESUMO!$H$2:$H$100)*(D712&lt;=RESUMO!$I$2:$I$100)*(H712&gt;=RESUMO!$K$2:$K$100)*(H712&lt;=RESUMO!$L$2:$L$100),
0)), "R$ ", ""))
))))</f>
        <v>0</v>
      </c>
      <c r="K712" s="9"/>
      <c r="L712" s="10" t="e">
        <f t="shared" si="153"/>
        <v>#DIV/0!</v>
      </c>
      <c r="M712" s="7"/>
      <c r="N712" s="48"/>
      <c r="O712" s="78" cm="1">
        <f t="array" ref="O712">IF(M712&lt;12.5, 0,
IF(M712&lt;29, 6.25,
IF(M712&lt;50, 6.5,
IF(M712&lt;79, 6.75,
VALUE(SUBSTITUTE(
INDEX(RESUMO!$J$2:$J$100, MATCH(1,
(D712&gt;=RESUMO!$H$2:$H$100)*(D712&lt;=RESUMO!$I$2:$I$100)*(M712&gt;=RESUMO!$K$2:$K$100)*(M712&lt;=RESUMO!$L$2:$L$100),
0)), "R$ ", ""))
))))</f>
        <v>0</v>
      </c>
      <c r="P712" s="9"/>
      <c r="Q712" s="10" t="e">
        <f t="shared" si="154"/>
        <v>#DIV/0!</v>
      </c>
      <c r="R712" s="5">
        <f t="shared" si="155"/>
        <v>-12.288399999999999</v>
      </c>
      <c r="S712" s="5">
        <f t="shared" si="156"/>
        <v>-319.4984</v>
      </c>
      <c r="T712" s="5">
        <f t="shared" si="157"/>
        <v>-12.288399999999999</v>
      </c>
      <c r="U712" s="5">
        <f t="shared" si="158"/>
        <v>-319.4984</v>
      </c>
    </row>
    <row r="713" spans="1:21" x14ac:dyDescent="0.25">
      <c r="A713" s="11"/>
      <c r="B713" s="6" t="s">
        <v>771</v>
      </c>
      <c r="C713" s="9">
        <v>403.22</v>
      </c>
      <c r="D713" s="6"/>
      <c r="E713" s="8">
        <v>0.04</v>
      </c>
      <c r="F713" s="49">
        <v>0</v>
      </c>
      <c r="G713" s="9">
        <v>0</v>
      </c>
      <c r="H713" s="9"/>
      <c r="I713" s="48"/>
      <c r="J713" s="78" cm="1">
        <f t="array" ref="J713">IF(H713&lt;12.5, H713/2,
IF(H713&lt;29, 6.25,
IF(H713&lt;50, 6.5,
IF(H713&lt;79, 6.75,
VALUE(SUBSTITUTE(
INDEX(RESUMO!$J$2:$J$100, MATCH(1,
(D713&gt;=RESUMO!$H$2:$H$100)*(D713&lt;=RESUMO!$I$2:$I$100)*(H713&gt;=RESUMO!$K$2:$K$100)*(H713&lt;=RESUMO!$L$2:$L$100),
0)), "R$ ", ""))
))))</f>
        <v>0</v>
      </c>
      <c r="K713" s="9"/>
      <c r="L713" s="10" t="e">
        <f t="shared" si="153"/>
        <v>#DIV/0!</v>
      </c>
      <c r="M713" s="7"/>
      <c r="N713" s="48"/>
      <c r="O713" s="78" cm="1">
        <f t="array" ref="O713">IF(M713&lt;12.5, 0,
IF(M713&lt;29, 6.25,
IF(M713&lt;50, 6.5,
IF(M713&lt;79, 6.75,
VALUE(SUBSTITUTE(
INDEX(RESUMO!$J$2:$J$100, MATCH(1,
(D713&gt;=RESUMO!$H$2:$H$100)*(D713&lt;=RESUMO!$I$2:$I$100)*(M713&gt;=RESUMO!$K$2:$K$100)*(M713&lt;=RESUMO!$L$2:$L$100),
0)), "R$ ", ""))
))))</f>
        <v>0</v>
      </c>
      <c r="P713" s="9"/>
      <c r="Q713" s="10" t="e">
        <f t="shared" si="154"/>
        <v>#DIV/0!</v>
      </c>
      <c r="R713" s="5">
        <f t="shared" si="155"/>
        <v>-16.128800000000002</v>
      </c>
      <c r="S713" s="5">
        <f t="shared" si="156"/>
        <v>-419.34880000000004</v>
      </c>
      <c r="T713" s="5">
        <f t="shared" si="157"/>
        <v>-16.128800000000002</v>
      </c>
      <c r="U713" s="5">
        <f t="shared" si="158"/>
        <v>-419.34880000000004</v>
      </c>
    </row>
    <row r="714" spans="1:21" x14ac:dyDescent="0.25">
      <c r="A714" s="11"/>
      <c r="B714" s="6" t="s">
        <v>772</v>
      </c>
      <c r="C714" s="9">
        <v>292.81</v>
      </c>
      <c r="D714" s="6"/>
      <c r="E714" s="8">
        <v>0.04</v>
      </c>
      <c r="F714" s="49">
        <v>0</v>
      </c>
      <c r="G714" s="9">
        <v>0</v>
      </c>
      <c r="H714" s="9"/>
      <c r="I714" s="48"/>
      <c r="J714" s="78" cm="1">
        <f t="array" ref="J714">IF(H714&lt;12.5, H714/2,
IF(H714&lt;29, 6.25,
IF(H714&lt;50, 6.5,
IF(H714&lt;79, 6.75,
VALUE(SUBSTITUTE(
INDEX(RESUMO!$J$2:$J$100, MATCH(1,
(D714&gt;=RESUMO!$H$2:$H$100)*(D714&lt;=RESUMO!$I$2:$I$100)*(H714&gt;=RESUMO!$K$2:$K$100)*(H714&lt;=RESUMO!$L$2:$L$100),
0)), "R$ ", ""))
))))</f>
        <v>0</v>
      </c>
      <c r="K714" s="9"/>
      <c r="L714" s="10" t="e">
        <f t="shared" si="153"/>
        <v>#DIV/0!</v>
      </c>
      <c r="M714" s="7"/>
      <c r="N714" s="48"/>
      <c r="O714" s="78" cm="1">
        <f t="array" ref="O714">IF(M714&lt;12.5, 0,
IF(M714&lt;29, 6.25,
IF(M714&lt;50, 6.5,
IF(M714&lt;79, 6.75,
VALUE(SUBSTITUTE(
INDEX(RESUMO!$J$2:$J$100, MATCH(1,
(D714&gt;=RESUMO!$H$2:$H$100)*(D714&lt;=RESUMO!$I$2:$I$100)*(M714&gt;=RESUMO!$K$2:$K$100)*(M714&lt;=RESUMO!$L$2:$L$100),
0)), "R$ ", ""))
))))</f>
        <v>0</v>
      </c>
      <c r="P714" s="9"/>
      <c r="Q714" s="10" t="e">
        <f t="shared" si="154"/>
        <v>#DIV/0!</v>
      </c>
      <c r="R714" s="5">
        <f t="shared" si="155"/>
        <v>-11.712400000000001</v>
      </c>
      <c r="S714" s="5">
        <f t="shared" si="156"/>
        <v>-304.5224</v>
      </c>
      <c r="T714" s="5">
        <f t="shared" si="157"/>
        <v>-11.712400000000001</v>
      </c>
      <c r="U714" s="5">
        <f t="shared" si="158"/>
        <v>-304.5224</v>
      </c>
    </row>
    <row r="715" spans="1:21" x14ac:dyDescent="0.25">
      <c r="A715" s="11"/>
      <c r="B715" s="6" t="s">
        <v>773</v>
      </c>
      <c r="C715" s="9">
        <v>226.13</v>
      </c>
      <c r="D715" s="6"/>
      <c r="E715" s="8">
        <v>0.04</v>
      </c>
      <c r="F715" s="49">
        <v>0</v>
      </c>
      <c r="G715" s="9">
        <v>0</v>
      </c>
      <c r="H715" s="9"/>
      <c r="I715" s="48"/>
      <c r="J715" s="78" cm="1">
        <f t="array" ref="J715">IF(H715&lt;12.5, H715/2,
IF(H715&lt;29, 6.25,
IF(H715&lt;50, 6.5,
IF(H715&lt;79, 6.75,
VALUE(SUBSTITUTE(
INDEX(RESUMO!$J$2:$J$100, MATCH(1,
(D715&gt;=RESUMO!$H$2:$H$100)*(D715&lt;=RESUMO!$I$2:$I$100)*(H715&gt;=RESUMO!$K$2:$K$100)*(H715&lt;=RESUMO!$L$2:$L$100),
0)), "R$ ", ""))
))))</f>
        <v>0</v>
      </c>
      <c r="K715" s="9"/>
      <c r="L715" s="10" t="e">
        <f t="shared" si="141"/>
        <v>#DIV/0!</v>
      </c>
      <c r="M715" s="7"/>
      <c r="N715" s="48"/>
      <c r="O715" s="78" cm="1">
        <f t="array" ref="O715">IF(M715&lt;12.5, 0,
IF(M715&lt;29, 6.25,
IF(M715&lt;50, 6.5,
IF(M715&lt;79, 6.75,
VALUE(SUBSTITUTE(
INDEX(RESUMO!$J$2:$J$100, MATCH(1,
(D715&gt;=RESUMO!$H$2:$H$100)*(D715&lt;=RESUMO!$I$2:$I$100)*(M715&gt;=RESUMO!$K$2:$K$100)*(M715&lt;=RESUMO!$L$2:$L$100),
0)), "R$ ", ""))
))))</f>
        <v>0</v>
      </c>
      <c r="P715" s="9"/>
      <c r="Q715" s="10" t="e">
        <f t="shared" si="142"/>
        <v>#DIV/0!</v>
      </c>
      <c r="R715" s="5">
        <f t="shared" si="143"/>
        <v>-9.0451999999999995</v>
      </c>
      <c r="S715" s="5">
        <f t="shared" si="144"/>
        <v>-235.17519999999999</v>
      </c>
      <c r="T715" s="5">
        <f t="shared" si="145"/>
        <v>-9.0451999999999995</v>
      </c>
      <c r="U715" s="5">
        <f t="shared" si="146"/>
        <v>-235.17519999999999</v>
      </c>
    </row>
    <row r="716" spans="1:21" x14ac:dyDescent="0.25">
      <c r="A716" s="11"/>
      <c r="B716" s="6" t="s">
        <v>774</v>
      </c>
      <c r="C716" s="9">
        <v>175.72</v>
      </c>
      <c r="D716" s="6"/>
      <c r="E716" s="8">
        <v>0.04</v>
      </c>
      <c r="F716" s="49">
        <v>0</v>
      </c>
      <c r="G716" s="9">
        <v>0</v>
      </c>
      <c r="H716" s="9"/>
      <c r="I716" s="48"/>
      <c r="J716" s="78" cm="1">
        <f t="array" ref="J716">IF(H716&lt;12.5, H716/2,
IF(H716&lt;29, 6.25,
IF(H716&lt;50, 6.5,
IF(H716&lt;79, 6.75,
VALUE(SUBSTITUTE(
INDEX(RESUMO!$J$2:$J$100, MATCH(1,
(D716&gt;=RESUMO!$H$2:$H$100)*(D716&lt;=RESUMO!$I$2:$I$100)*(H716&gt;=RESUMO!$K$2:$K$100)*(H716&lt;=RESUMO!$L$2:$L$100),
0)), "R$ ", ""))
))))</f>
        <v>0</v>
      </c>
      <c r="K716" s="9"/>
      <c r="L716" s="10" t="e">
        <f t="shared" si="141"/>
        <v>#DIV/0!</v>
      </c>
      <c r="M716" s="7"/>
      <c r="N716" s="48"/>
      <c r="O716" s="78" cm="1">
        <f t="array" ref="O716">IF(M716&lt;12.5, 0,
IF(M716&lt;29, 6.25,
IF(M716&lt;50, 6.5,
IF(M716&lt;79, 6.75,
VALUE(SUBSTITUTE(
INDEX(RESUMO!$J$2:$J$100, MATCH(1,
(D716&gt;=RESUMO!$H$2:$H$100)*(D716&lt;=RESUMO!$I$2:$I$100)*(M716&gt;=RESUMO!$K$2:$K$100)*(M716&lt;=RESUMO!$L$2:$L$100),
0)), "R$ ", ""))
))))</f>
        <v>0</v>
      </c>
      <c r="P716" s="9"/>
      <c r="Q716" s="10" t="e">
        <f t="shared" si="142"/>
        <v>#DIV/0!</v>
      </c>
      <c r="R716" s="5">
        <f t="shared" si="143"/>
        <v>-7.0288000000000004</v>
      </c>
      <c r="S716" s="5">
        <f t="shared" si="144"/>
        <v>-182.74879999999999</v>
      </c>
      <c r="T716" s="5">
        <f t="shared" si="145"/>
        <v>-7.0288000000000004</v>
      </c>
      <c r="U716" s="5">
        <f t="shared" si="146"/>
        <v>-182.74879999999999</v>
      </c>
    </row>
    <row r="717" spans="1:21" x14ac:dyDescent="0.25">
      <c r="A717" s="11"/>
      <c r="B717" s="6" t="s">
        <v>775</v>
      </c>
      <c r="C717" s="9">
        <v>175.72</v>
      </c>
      <c r="D717" s="6"/>
      <c r="E717" s="8">
        <v>0.04</v>
      </c>
      <c r="F717" s="49">
        <v>0</v>
      </c>
      <c r="G717" s="9">
        <v>0</v>
      </c>
      <c r="H717" s="9"/>
      <c r="I717" s="48"/>
      <c r="J717" s="78" cm="1">
        <f t="array" ref="J717">IF(H717&lt;12.5, H717/2,
IF(H717&lt;29, 6.25,
IF(H717&lt;50, 6.5,
IF(H717&lt;79, 6.75,
VALUE(SUBSTITUTE(
INDEX(RESUMO!$J$2:$J$100, MATCH(1,
(D717&gt;=RESUMO!$H$2:$H$100)*(D717&lt;=RESUMO!$I$2:$I$100)*(H717&gt;=RESUMO!$K$2:$K$100)*(H717&lt;=RESUMO!$L$2:$L$100),
0)), "R$ ", ""))
))))</f>
        <v>0</v>
      </c>
      <c r="K717" s="9"/>
      <c r="L717" s="10" t="e">
        <f t="shared" si="141"/>
        <v>#DIV/0!</v>
      </c>
      <c r="M717" s="7"/>
      <c r="N717" s="48"/>
      <c r="O717" s="78" cm="1">
        <f t="array" ref="O717">IF(M717&lt;12.5, 0,
IF(M717&lt;29, 6.25,
IF(M717&lt;50, 6.5,
IF(M717&lt;79, 6.75,
VALUE(SUBSTITUTE(
INDEX(RESUMO!$J$2:$J$100, MATCH(1,
(D717&gt;=RESUMO!$H$2:$H$100)*(D717&lt;=RESUMO!$I$2:$I$100)*(M717&gt;=RESUMO!$K$2:$K$100)*(M717&lt;=RESUMO!$L$2:$L$100),
0)), "R$ ", ""))
))))</f>
        <v>0</v>
      </c>
      <c r="P717" s="9"/>
      <c r="Q717" s="10" t="e">
        <f t="shared" si="142"/>
        <v>#DIV/0!</v>
      </c>
      <c r="R717" s="5">
        <f t="shared" si="143"/>
        <v>-7.0288000000000004</v>
      </c>
      <c r="S717" s="5">
        <f t="shared" si="144"/>
        <v>-182.74879999999999</v>
      </c>
      <c r="T717" s="5">
        <f t="shared" si="145"/>
        <v>-7.0288000000000004</v>
      </c>
      <c r="U717" s="5">
        <f t="shared" si="146"/>
        <v>-182.74879999999999</v>
      </c>
    </row>
    <row r="718" spans="1:21" x14ac:dyDescent="0.25">
      <c r="A718" s="11"/>
      <c r="B718" s="6" t="s">
        <v>776</v>
      </c>
      <c r="C718" s="9">
        <v>189.41</v>
      </c>
      <c r="D718" s="6"/>
      <c r="E718" s="8">
        <v>0.04</v>
      </c>
      <c r="F718" s="49">
        <v>0</v>
      </c>
      <c r="G718" s="9">
        <v>0</v>
      </c>
      <c r="H718" s="9"/>
      <c r="I718" s="48"/>
      <c r="J718" s="78" cm="1">
        <f t="array" ref="J718">IF(H718&lt;12.5, H718/2,
IF(H718&lt;29, 6.25,
IF(H718&lt;50, 6.5,
IF(H718&lt;79, 6.75,
VALUE(SUBSTITUTE(
INDEX(RESUMO!$J$2:$J$100, MATCH(1,
(D718&gt;=RESUMO!$H$2:$H$100)*(D718&lt;=RESUMO!$I$2:$I$100)*(H718&gt;=RESUMO!$K$2:$K$100)*(H718&lt;=RESUMO!$L$2:$L$100),
0)), "R$ ", ""))
))))</f>
        <v>0</v>
      </c>
      <c r="K718" s="9"/>
      <c r="L718" s="10" t="e">
        <f t="shared" ref="L718:L732" si="165">S718/H718</f>
        <v>#DIV/0!</v>
      </c>
      <c r="M718" s="7"/>
      <c r="N718" s="48"/>
      <c r="O718" s="78" cm="1">
        <f t="array" ref="O718">IF(M718&lt;12.5, 0,
IF(M718&lt;29, 6.25,
IF(M718&lt;50, 6.5,
IF(M718&lt;79, 6.75,
VALUE(SUBSTITUTE(
INDEX(RESUMO!$J$2:$J$100, MATCH(1,
(D718&gt;=RESUMO!$H$2:$H$100)*(D718&lt;=RESUMO!$I$2:$I$100)*(M718&gt;=RESUMO!$K$2:$K$100)*(M718&lt;=RESUMO!$L$2:$L$100),
0)), "R$ ", ""))
))))</f>
        <v>0</v>
      </c>
      <c r="P718" s="9"/>
      <c r="Q718" s="10" t="e">
        <f t="shared" ref="Q718:Q732" si="166">U718/M718</f>
        <v>#DIV/0!</v>
      </c>
      <c r="R718" s="5">
        <f t="shared" ref="R718:R732" si="167">(H718-(H718*I718)-J718-(C718*E718)+K718)</f>
        <v>-7.5763999999999996</v>
      </c>
      <c r="S718" s="5">
        <f t="shared" ref="S718:S732" si="168">R718-(C718-F718)</f>
        <v>-196.9864</v>
      </c>
      <c r="T718" s="5">
        <f t="shared" ref="T718:T732" si="169">(M718-(M718*N718)-O718-(C718*E718)+P718)</f>
        <v>-7.5763999999999996</v>
      </c>
      <c r="U718" s="5">
        <f t="shared" ref="U718:U732" si="170">T718-(C718-F718)</f>
        <v>-196.9864</v>
      </c>
    </row>
    <row r="719" spans="1:21" x14ac:dyDescent="0.25">
      <c r="A719" s="11"/>
      <c r="B719" s="6" t="s">
        <v>777</v>
      </c>
      <c r="C719" s="9">
        <v>203.47</v>
      </c>
      <c r="D719" s="6"/>
      <c r="E719" s="8">
        <v>0.04</v>
      </c>
      <c r="F719" s="49">
        <v>0</v>
      </c>
      <c r="G719" s="9">
        <v>0</v>
      </c>
      <c r="H719" s="9"/>
      <c r="I719" s="48"/>
      <c r="J719" s="78" cm="1">
        <f t="array" ref="J719">IF(H719&lt;12.5, H719/2,
IF(H719&lt;29, 6.25,
IF(H719&lt;50, 6.5,
IF(H719&lt;79, 6.75,
VALUE(SUBSTITUTE(
INDEX(RESUMO!$J$2:$J$100, MATCH(1,
(D719&gt;=RESUMO!$H$2:$H$100)*(D719&lt;=RESUMO!$I$2:$I$100)*(H719&gt;=RESUMO!$K$2:$K$100)*(H719&lt;=RESUMO!$L$2:$L$100),
0)), "R$ ", ""))
))))</f>
        <v>0</v>
      </c>
      <c r="K719" s="9"/>
      <c r="L719" s="10" t="e">
        <f t="shared" si="165"/>
        <v>#DIV/0!</v>
      </c>
      <c r="M719" s="7"/>
      <c r="N719" s="48"/>
      <c r="O719" s="78" cm="1">
        <f t="array" ref="O719">IF(M719&lt;12.5, 0,
IF(M719&lt;29, 6.25,
IF(M719&lt;50, 6.5,
IF(M719&lt;79, 6.75,
VALUE(SUBSTITUTE(
INDEX(RESUMO!$J$2:$J$100, MATCH(1,
(D719&gt;=RESUMO!$H$2:$H$100)*(D719&lt;=RESUMO!$I$2:$I$100)*(M719&gt;=RESUMO!$K$2:$K$100)*(M719&lt;=RESUMO!$L$2:$L$100),
0)), "R$ ", ""))
))))</f>
        <v>0</v>
      </c>
      <c r="P719" s="9"/>
      <c r="Q719" s="10" t="e">
        <f t="shared" si="166"/>
        <v>#DIV/0!</v>
      </c>
      <c r="R719" s="5">
        <f t="shared" si="167"/>
        <v>-8.1387999999999998</v>
      </c>
      <c r="S719" s="5">
        <f t="shared" si="168"/>
        <v>-211.6088</v>
      </c>
      <c r="T719" s="5">
        <f t="shared" si="169"/>
        <v>-8.1387999999999998</v>
      </c>
      <c r="U719" s="5">
        <f t="shared" si="170"/>
        <v>-211.6088</v>
      </c>
    </row>
    <row r="720" spans="1:21" x14ac:dyDescent="0.25">
      <c r="A720" s="11"/>
      <c r="B720" s="6" t="s">
        <v>778</v>
      </c>
      <c r="C720" s="9">
        <v>203.47</v>
      </c>
      <c r="D720" s="6"/>
      <c r="E720" s="8">
        <v>0.04</v>
      </c>
      <c r="F720" s="49">
        <v>0</v>
      </c>
      <c r="G720" s="9">
        <v>0</v>
      </c>
      <c r="H720" s="9"/>
      <c r="I720" s="48"/>
      <c r="J720" s="78" cm="1">
        <f t="array" ref="J720">IF(H720&lt;12.5, H720/2,
IF(H720&lt;29, 6.25,
IF(H720&lt;50, 6.5,
IF(H720&lt;79, 6.75,
VALUE(SUBSTITUTE(
INDEX(RESUMO!$J$2:$J$100, MATCH(1,
(D720&gt;=RESUMO!$H$2:$H$100)*(D720&lt;=RESUMO!$I$2:$I$100)*(H720&gt;=RESUMO!$K$2:$K$100)*(H720&lt;=RESUMO!$L$2:$L$100),
0)), "R$ ", ""))
))))</f>
        <v>0</v>
      </c>
      <c r="K720" s="9"/>
      <c r="L720" s="10" t="e">
        <f t="shared" si="165"/>
        <v>#DIV/0!</v>
      </c>
      <c r="M720" s="7"/>
      <c r="N720" s="48"/>
      <c r="O720" s="78" cm="1">
        <f t="array" ref="O720">IF(M720&lt;12.5, 0,
IF(M720&lt;29, 6.25,
IF(M720&lt;50, 6.5,
IF(M720&lt;79, 6.75,
VALUE(SUBSTITUTE(
INDEX(RESUMO!$J$2:$J$100, MATCH(1,
(D720&gt;=RESUMO!$H$2:$H$100)*(D720&lt;=RESUMO!$I$2:$I$100)*(M720&gt;=RESUMO!$K$2:$K$100)*(M720&lt;=RESUMO!$L$2:$L$100),
0)), "R$ ", ""))
))))</f>
        <v>0</v>
      </c>
      <c r="P720" s="9"/>
      <c r="Q720" s="10" t="e">
        <f t="shared" si="166"/>
        <v>#DIV/0!</v>
      </c>
      <c r="R720" s="5">
        <f t="shared" si="167"/>
        <v>-8.1387999999999998</v>
      </c>
      <c r="S720" s="5">
        <f t="shared" si="168"/>
        <v>-211.6088</v>
      </c>
      <c r="T720" s="5">
        <f t="shared" si="169"/>
        <v>-8.1387999999999998</v>
      </c>
      <c r="U720" s="5">
        <f t="shared" si="170"/>
        <v>-211.6088</v>
      </c>
    </row>
    <row r="721" spans="1:21" x14ac:dyDescent="0.25">
      <c r="A721" s="11"/>
      <c r="B721" s="6" t="s">
        <v>779</v>
      </c>
      <c r="C721" s="9">
        <v>198.85</v>
      </c>
      <c r="D721" s="6"/>
      <c r="E721" s="8">
        <v>0.04</v>
      </c>
      <c r="F721" s="49">
        <v>0</v>
      </c>
      <c r="G721" s="9">
        <v>0</v>
      </c>
      <c r="H721" s="9"/>
      <c r="I721" s="48"/>
      <c r="J721" s="78" cm="1">
        <f t="array" ref="J721">IF(H721&lt;12.5, H721/2,
IF(H721&lt;29, 6.25,
IF(H721&lt;50, 6.5,
IF(H721&lt;79, 6.75,
VALUE(SUBSTITUTE(
INDEX(RESUMO!$J$2:$J$100, MATCH(1,
(D721&gt;=RESUMO!$H$2:$H$100)*(D721&lt;=RESUMO!$I$2:$I$100)*(H721&gt;=RESUMO!$K$2:$K$100)*(H721&lt;=RESUMO!$L$2:$L$100),
0)), "R$ ", ""))
))))</f>
        <v>0</v>
      </c>
      <c r="K721" s="9"/>
      <c r="L721" s="10" t="e">
        <f t="shared" si="165"/>
        <v>#DIV/0!</v>
      </c>
      <c r="M721" s="7"/>
      <c r="N721" s="48"/>
      <c r="O721" s="78" cm="1">
        <f t="array" ref="O721">IF(M721&lt;12.5, 0,
IF(M721&lt;29, 6.25,
IF(M721&lt;50, 6.5,
IF(M721&lt;79, 6.75,
VALUE(SUBSTITUTE(
INDEX(RESUMO!$J$2:$J$100, MATCH(1,
(D721&gt;=RESUMO!$H$2:$H$100)*(D721&lt;=RESUMO!$I$2:$I$100)*(M721&gt;=RESUMO!$K$2:$K$100)*(M721&lt;=RESUMO!$L$2:$L$100),
0)), "R$ ", ""))
))))</f>
        <v>0</v>
      </c>
      <c r="P721" s="9"/>
      <c r="Q721" s="10" t="e">
        <f t="shared" si="166"/>
        <v>#DIV/0!</v>
      </c>
      <c r="R721" s="5">
        <f t="shared" si="167"/>
        <v>-7.9539999999999997</v>
      </c>
      <c r="S721" s="5">
        <f t="shared" si="168"/>
        <v>-206.804</v>
      </c>
      <c r="T721" s="5">
        <f t="shared" si="169"/>
        <v>-7.9539999999999997</v>
      </c>
      <c r="U721" s="5">
        <f t="shared" si="170"/>
        <v>-206.804</v>
      </c>
    </row>
    <row r="722" spans="1:21" x14ac:dyDescent="0.25">
      <c r="A722" s="11"/>
      <c r="B722" s="6" t="s">
        <v>780</v>
      </c>
      <c r="C722" s="9">
        <v>198.85</v>
      </c>
      <c r="D722" s="6"/>
      <c r="E722" s="8">
        <v>0.04</v>
      </c>
      <c r="F722" s="49">
        <v>0</v>
      </c>
      <c r="G722" s="9">
        <v>0</v>
      </c>
      <c r="H722" s="9"/>
      <c r="I722" s="48"/>
      <c r="J722" s="78" cm="1">
        <f t="array" ref="J722">IF(H722&lt;12.5, H722/2,
IF(H722&lt;29, 6.25,
IF(H722&lt;50, 6.5,
IF(H722&lt;79, 6.75,
VALUE(SUBSTITUTE(
INDEX(RESUMO!$J$2:$J$100, MATCH(1,
(D722&gt;=RESUMO!$H$2:$H$100)*(D722&lt;=RESUMO!$I$2:$I$100)*(H722&gt;=RESUMO!$K$2:$K$100)*(H722&lt;=RESUMO!$L$2:$L$100),
0)), "R$ ", ""))
))))</f>
        <v>0</v>
      </c>
      <c r="K722" s="9"/>
      <c r="L722" s="10" t="e">
        <f t="shared" si="165"/>
        <v>#DIV/0!</v>
      </c>
      <c r="M722" s="7"/>
      <c r="N722" s="48"/>
      <c r="O722" s="78" cm="1">
        <f t="array" ref="O722">IF(M722&lt;12.5, 0,
IF(M722&lt;29, 6.25,
IF(M722&lt;50, 6.5,
IF(M722&lt;79, 6.75,
VALUE(SUBSTITUTE(
INDEX(RESUMO!$J$2:$J$100, MATCH(1,
(D722&gt;=RESUMO!$H$2:$H$100)*(D722&lt;=RESUMO!$I$2:$I$100)*(M722&gt;=RESUMO!$K$2:$K$100)*(M722&lt;=RESUMO!$L$2:$L$100),
0)), "R$ ", ""))
))))</f>
        <v>0</v>
      </c>
      <c r="P722" s="9"/>
      <c r="Q722" s="10" t="e">
        <f t="shared" si="166"/>
        <v>#DIV/0!</v>
      </c>
      <c r="R722" s="5">
        <f t="shared" si="167"/>
        <v>-7.9539999999999997</v>
      </c>
      <c r="S722" s="5">
        <f t="shared" si="168"/>
        <v>-206.804</v>
      </c>
      <c r="T722" s="5">
        <f t="shared" si="169"/>
        <v>-7.9539999999999997</v>
      </c>
      <c r="U722" s="5">
        <f t="shared" si="170"/>
        <v>-206.804</v>
      </c>
    </row>
    <row r="723" spans="1:21" x14ac:dyDescent="0.25">
      <c r="A723" s="11"/>
      <c r="B723" s="6" t="s">
        <v>781</v>
      </c>
      <c r="C723" s="9">
        <v>211.05</v>
      </c>
      <c r="D723" s="6"/>
      <c r="E723" s="8">
        <v>0.04</v>
      </c>
      <c r="F723" s="49">
        <v>0</v>
      </c>
      <c r="G723" s="9">
        <v>0</v>
      </c>
      <c r="H723" s="9"/>
      <c r="I723" s="48"/>
      <c r="J723" s="78" cm="1">
        <f t="array" ref="J723">IF(H723&lt;12.5, H723/2,
IF(H723&lt;29, 6.25,
IF(H723&lt;50, 6.5,
IF(H723&lt;79, 6.75,
VALUE(SUBSTITUTE(
INDEX(RESUMO!$J$2:$J$100, MATCH(1,
(D723&gt;=RESUMO!$H$2:$H$100)*(D723&lt;=RESUMO!$I$2:$I$100)*(H723&gt;=RESUMO!$K$2:$K$100)*(H723&lt;=RESUMO!$L$2:$L$100),
0)), "R$ ", ""))
))))</f>
        <v>0</v>
      </c>
      <c r="K723" s="9"/>
      <c r="L723" s="10" t="e">
        <f t="shared" si="165"/>
        <v>#DIV/0!</v>
      </c>
      <c r="M723" s="7"/>
      <c r="N723" s="48"/>
      <c r="O723" s="78" cm="1">
        <f t="array" ref="O723">IF(M723&lt;12.5, 0,
IF(M723&lt;29, 6.25,
IF(M723&lt;50, 6.5,
IF(M723&lt;79, 6.75,
VALUE(SUBSTITUTE(
INDEX(RESUMO!$J$2:$J$100, MATCH(1,
(D723&gt;=RESUMO!$H$2:$H$100)*(D723&lt;=RESUMO!$I$2:$I$100)*(M723&gt;=RESUMO!$K$2:$K$100)*(M723&lt;=RESUMO!$L$2:$L$100),
0)), "R$ ", ""))
))))</f>
        <v>0</v>
      </c>
      <c r="P723" s="9"/>
      <c r="Q723" s="10" t="e">
        <f t="shared" si="166"/>
        <v>#DIV/0!</v>
      </c>
      <c r="R723" s="5">
        <f t="shared" si="167"/>
        <v>-8.4420000000000002</v>
      </c>
      <c r="S723" s="5">
        <f t="shared" si="168"/>
        <v>-219.49200000000002</v>
      </c>
      <c r="T723" s="5">
        <f t="shared" si="169"/>
        <v>-8.4420000000000002</v>
      </c>
      <c r="U723" s="5">
        <f t="shared" si="170"/>
        <v>-219.49200000000002</v>
      </c>
    </row>
    <row r="724" spans="1:21" x14ac:dyDescent="0.25">
      <c r="A724" s="11"/>
      <c r="B724" s="6" t="s">
        <v>782</v>
      </c>
      <c r="C724" s="9">
        <v>211.05</v>
      </c>
      <c r="D724" s="6"/>
      <c r="E724" s="8">
        <v>0.04</v>
      </c>
      <c r="F724" s="49">
        <v>0</v>
      </c>
      <c r="G724" s="9">
        <v>0</v>
      </c>
      <c r="H724" s="9"/>
      <c r="I724" s="48"/>
      <c r="J724" s="78" cm="1">
        <f t="array" ref="J724">IF(H724&lt;12.5, H724/2,
IF(H724&lt;29, 6.25,
IF(H724&lt;50, 6.5,
IF(H724&lt;79, 6.75,
VALUE(SUBSTITUTE(
INDEX(RESUMO!$J$2:$J$100, MATCH(1,
(D724&gt;=RESUMO!$H$2:$H$100)*(D724&lt;=RESUMO!$I$2:$I$100)*(H724&gt;=RESUMO!$K$2:$K$100)*(H724&lt;=RESUMO!$L$2:$L$100),
0)), "R$ ", ""))
))))</f>
        <v>0</v>
      </c>
      <c r="K724" s="9"/>
      <c r="L724" s="10" t="e">
        <f t="shared" si="165"/>
        <v>#DIV/0!</v>
      </c>
      <c r="M724" s="7"/>
      <c r="N724" s="48"/>
      <c r="O724" s="78" cm="1">
        <f t="array" ref="O724">IF(M724&lt;12.5, 0,
IF(M724&lt;29, 6.25,
IF(M724&lt;50, 6.5,
IF(M724&lt;79, 6.75,
VALUE(SUBSTITUTE(
INDEX(RESUMO!$J$2:$J$100, MATCH(1,
(D724&gt;=RESUMO!$H$2:$H$100)*(D724&lt;=RESUMO!$I$2:$I$100)*(M724&gt;=RESUMO!$K$2:$K$100)*(M724&lt;=RESUMO!$L$2:$L$100),
0)), "R$ ", ""))
))))</f>
        <v>0</v>
      </c>
      <c r="P724" s="9"/>
      <c r="Q724" s="10" t="e">
        <f t="shared" si="166"/>
        <v>#DIV/0!</v>
      </c>
      <c r="R724" s="5">
        <f t="shared" si="167"/>
        <v>-8.4420000000000002</v>
      </c>
      <c r="S724" s="5">
        <f t="shared" si="168"/>
        <v>-219.49200000000002</v>
      </c>
      <c r="T724" s="5">
        <f t="shared" si="169"/>
        <v>-8.4420000000000002</v>
      </c>
      <c r="U724" s="5">
        <f t="shared" si="170"/>
        <v>-219.49200000000002</v>
      </c>
    </row>
    <row r="725" spans="1:21" x14ac:dyDescent="0.25">
      <c r="A725" s="11"/>
      <c r="B725" s="6" t="s">
        <v>783</v>
      </c>
      <c r="C725" s="9">
        <v>271.35000000000002</v>
      </c>
      <c r="D725" s="6"/>
      <c r="E725" s="8">
        <v>0.04</v>
      </c>
      <c r="F725" s="49">
        <v>0</v>
      </c>
      <c r="G725" s="9">
        <v>0</v>
      </c>
      <c r="H725" s="9"/>
      <c r="I725" s="48"/>
      <c r="J725" s="78" cm="1">
        <f t="array" ref="J725">IF(H725&lt;12.5, H725/2,
IF(H725&lt;29, 6.25,
IF(H725&lt;50, 6.5,
IF(H725&lt;79, 6.75,
VALUE(SUBSTITUTE(
INDEX(RESUMO!$J$2:$J$100, MATCH(1,
(D725&gt;=RESUMO!$H$2:$H$100)*(D725&lt;=RESUMO!$I$2:$I$100)*(H725&gt;=RESUMO!$K$2:$K$100)*(H725&lt;=RESUMO!$L$2:$L$100),
0)), "R$ ", ""))
))))</f>
        <v>0</v>
      </c>
      <c r="K725" s="9"/>
      <c r="L725" s="10" t="e">
        <f t="shared" si="165"/>
        <v>#DIV/0!</v>
      </c>
      <c r="M725" s="7"/>
      <c r="N725" s="48"/>
      <c r="O725" s="78" cm="1">
        <f t="array" ref="O725">IF(M725&lt;12.5, 0,
IF(M725&lt;29, 6.25,
IF(M725&lt;50, 6.5,
IF(M725&lt;79, 6.75,
VALUE(SUBSTITUTE(
INDEX(RESUMO!$J$2:$J$100, MATCH(1,
(D725&gt;=RESUMO!$H$2:$H$100)*(D725&lt;=RESUMO!$I$2:$I$100)*(M725&gt;=RESUMO!$K$2:$K$100)*(M725&lt;=RESUMO!$L$2:$L$100),
0)), "R$ ", ""))
))))</f>
        <v>0</v>
      </c>
      <c r="P725" s="9"/>
      <c r="Q725" s="10" t="e">
        <f t="shared" si="166"/>
        <v>#DIV/0!</v>
      </c>
      <c r="R725" s="5">
        <f t="shared" si="167"/>
        <v>-10.854000000000001</v>
      </c>
      <c r="S725" s="5">
        <f t="shared" si="168"/>
        <v>-282.20400000000001</v>
      </c>
      <c r="T725" s="5">
        <f t="shared" si="169"/>
        <v>-10.854000000000001</v>
      </c>
      <c r="U725" s="5">
        <f t="shared" si="170"/>
        <v>-282.20400000000001</v>
      </c>
    </row>
    <row r="726" spans="1:21" x14ac:dyDescent="0.25">
      <c r="A726" s="11"/>
      <c r="B726" s="6" t="s">
        <v>784</v>
      </c>
      <c r="C726" s="9"/>
      <c r="D726" s="6"/>
      <c r="E726" s="8"/>
      <c r="F726" s="49"/>
      <c r="G726" s="9"/>
      <c r="H726" s="9"/>
      <c r="I726" s="48"/>
      <c r="J726" s="78" cm="1">
        <f t="array" ref="J726">IF(H726&lt;12.5, H726/2,
IF(H726&lt;29, 6.25,
IF(H726&lt;50, 6.5,
IF(H726&lt;79, 6.75,
VALUE(SUBSTITUTE(
INDEX(RESUMO!$J$2:$J$100, MATCH(1,
(D726&gt;=RESUMO!$H$2:$H$100)*(D726&lt;=RESUMO!$I$2:$I$100)*(H726&gt;=RESUMO!$K$2:$K$100)*(H726&lt;=RESUMO!$L$2:$L$100),
0)), "R$ ", ""))
))))</f>
        <v>0</v>
      </c>
      <c r="K726" s="9"/>
      <c r="L726" s="10" t="e">
        <f t="shared" si="165"/>
        <v>#DIV/0!</v>
      </c>
      <c r="M726" s="7"/>
      <c r="N726" s="48"/>
      <c r="O726" s="78" cm="1">
        <f t="array" ref="O726">IF(M726&lt;12.5, 0,
IF(M726&lt;29, 6.25,
IF(M726&lt;50, 6.5,
IF(M726&lt;79, 6.75,
VALUE(SUBSTITUTE(
INDEX(RESUMO!$J$2:$J$100, MATCH(1,
(D726&gt;=RESUMO!$H$2:$H$100)*(D726&lt;=RESUMO!$I$2:$I$100)*(M726&gt;=RESUMO!$K$2:$K$100)*(M726&lt;=RESUMO!$L$2:$L$100),
0)), "R$ ", ""))
))))</f>
        <v>0</v>
      </c>
      <c r="P726" s="9"/>
      <c r="Q726" s="10" t="e">
        <f t="shared" si="166"/>
        <v>#DIV/0!</v>
      </c>
      <c r="R726" s="5">
        <f t="shared" si="167"/>
        <v>0</v>
      </c>
      <c r="S726" s="5">
        <f t="shared" si="168"/>
        <v>0</v>
      </c>
      <c r="T726" s="5">
        <f t="shared" si="169"/>
        <v>0</v>
      </c>
      <c r="U726" s="5">
        <f t="shared" si="170"/>
        <v>0</v>
      </c>
    </row>
    <row r="727" spans="1:21" x14ac:dyDescent="0.25">
      <c r="A727" s="11" t="s">
        <v>39</v>
      </c>
      <c r="B727" s="6" t="s">
        <v>786</v>
      </c>
      <c r="C727" s="9">
        <v>391.9</v>
      </c>
      <c r="D727" s="6">
        <v>13</v>
      </c>
      <c r="E727" s="8">
        <v>0.04</v>
      </c>
      <c r="F727" s="49">
        <v>0</v>
      </c>
      <c r="G727" s="9">
        <v>2</v>
      </c>
      <c r="H727" s="9">
        <v>539</v>
      </c>
      <c r="I727" s="48">
        <v>0.11</v>
      </c>
      <c r="J727" s="78" cm="1">
        <f t="array" ref="J727">IF(H727&lt;12.5, H727/2,
IF(H727&lt;29, 6.25,
IF(H727&lt;50, 6.5,
IF(H727&lt;79, 6.75,
VALUE(SUBSTITUTE(
INDEX(RESUMO!$J$2:$J$100, MATCH(1,
(D727&gt;=RESUMO!$H$2:$H$100)*(D727&lt;=RESUMO!$I$2:$I$100)*(H727&gt;=RESUMO!$K$2:$K$100)*(H727&lt;=RESUMO!$L$2:$L$100),
0)), "R$ ", ""))
))))</f>
        <v>65.95</v>
      </c>
      <c r="K727" s="9">
        <v>0</v>
      </c>
      <c r="L727" s="10">
        <f t="shared" si="165"/>
        <v>1.1473098330241235E-2</v>
      </c>
      <c r="M727" s="7"/>
      <c r="N727" s="48"/>
      <c r="O727" s="78" cm="1">
        <f t="array" ref="O727">IF(M727&lt;12.5, 0,
IF(M727&lt;29, 6.25,
IF(M727&lt;50, 6.5,
IF(M727&lt;79, 6.75,
VALUE(SUBSTITUTE(
INDEX(RESUMO!$J$2:$J$100, MATCH(1,
(D727&gt;=RESUMO!$H$2:$H$100)*(D727&lt;=RESUMO!$I$2:$I$100)*(M727&gt;=RESUMO!$K$2:$K$100)*(M727&lt;=RESUMO!$L$2:$L$100),
0)), "R$ ", ""))
))))</f>
        <v>0</v>
      </c>
      <c r="P727" s="9"/>
      <c r="Q727" s="10" t="e">
        <f t="shared" si="166"/>
        <v>#DIV/0!</v>
      </c>
      <c r="R727" s="5">
        <f t="shared" si="167"/>
        <v>398.084</v>
      </c>
      <c r="S727" s="5">
        <f t="shared" si="168"/>
        <v>6.1840000000000259</v>
      </c>
      <c r="T727" s="5">
        <f t="shared" si="169"/>
        <v>-15.676</v>
      </c>
      <c r="U727" s="5">
        <f t="shared" si="170"/>
        <v>-407.57599999999996</v>
      </c>
    </row>
    <row r="728" spans="1:21" x14ac:dyDescent="0.25">
      <c r="A728" s="11" t="s">
        <v>33</v>
      </c>
      <c r="B728" s="6" t="s">
        <v>787</v>
      </c>
      <c r="C728" s="9">
        <v>569.82000000000005</v>
      </c>
      <c r="D728" s="6"/>
      <c r="E728" s="8">
        <v>0.04</v>
      </c>
      <c r="F728" s="49">
        <v>0</v>
      </c>
      <c r="G728" s="9">
        <v>2</v>
      </c>
      <c r="H728" s="9">
        <v>775</v>
      </c>
      <c r="I728" s="48">
        <v>0.11</v>
      </c>
      <c r="J728" s="78" cm="1">
        <f t="array" ref="J728">IF(H728&lt;12.5, H728/2,
IF(H728&lt;29, 6.25,
IF(H728&lt;50, 6.5,
IF(H728&lt;79, 6.75,
VALUE(SUBSTITUTE(
INDEX(RESUMO!$J$2:$J$100, MATCH(1,
(D728&gt;=RESUMO!$H$2:$H$100)*(D728&lt;=RESUMO!$I$2:$I$100)*(H728&gt;=RESUMO!$K$2:$K$100)*(H728&lt;=RESUMO!$L$2:$L$100),
0)), "R$ ", ""))
))))</f>
        <v>19.95</v>
      </c>
      <c r="K728" s="9">
        <v>0</v>
      </c>
      <c r="L728" s="10">
        <f t="shared" si="165"/>
        <v>9.9596387096774E-2</v>
      </c>
      <c r="M728" s="7"/>
      <c r="N728" s="48"/>
      <c r="O728" s="78" cm="1">
        <f t="array" ref="O728">IF(M728&lt;12.5, 0,
IF(M728&lt;29, 6.25,
IF(M728&lt;50, 6.5,
IF(M728&lt;79, 6.75,
VALUE(SUBSTITUTE(
INDEX(RESUMO!$J$2:$J$100, MATCH(1,
(D728&gt;=RESUMO!$H$2:$H$100)*(D728&lt;=RESUMO!$I$2:$I$100)*(M728&gt;=RESUMO!$K$2:$K$100)*(M728&lt;=RESUMO!$L$2:$L$100),
0)), "R$ ", ""))
))))</f>
        <v>0</v>
      </c>
      <c r="P728" s="9"/>
      <c r="Q728" s="10" t="e">
        <f t="shared" si="166"/>
        <v>#DIV/0!</v>
      </c>
      <c r="R728" s="5">
        <f t="shared" si="167"/>
        <v>647.0071999999999</v>
      </c>
      <c r="S728" s="5">
        <f t="shared" si="168"/>
        <v>77.187199999999848</v>
      </c>
      <c r="T728" s="5">
        <f t="shared" si="169"/>
        <v>-22.792800000000003</v>
      </c>
      <c r="U728" s="5">
        <f t="shared" si="170"/>
        <v>-592.61280000000011</v>
      </c>
    </row>
    <row r="729" spans="1:21" x14ac:dyDescent="0.25">
      <c r="A729" s="11"/>
      <c r="B729" s="6"/>
      <c r="C729" s="9"/>
      <c r="D729" s="6"/>
      <c r="E729" s="8"/>
      <c r="F729" s="49"/>
      <c r="G729" s="9"/>
      <c r="H729" s="9"/>
      <c r="I729" s="48"/>
      <c r="J729" s="78" cm="1">
        <f t="array" ref="J729">IF(H729&lt;12.5, H729/2,
IF(H729&lt;29, 6.25,
IF(H729&lt;50, 6.5,
IF(H729&lt;79, 6.75,
VALUE(SUBSTITUTE(
INDEX(RESUMO!$J$2:$J$100, MATCH(1,
(D729&gt;=RESUMO!$H$2:$H$100)*(D729&lt;=RESUMO!$I$2:$I$100)*(H729&gt;=RESUMO!$K$2:$K$100)*(H729&lt;=RESUMO!$L$2:$L$100),
0)), "R$ ", ""))
))))</f>
        <v>0</v>
      </c>
      <c r="K729" s="9"/>
      <c r="L729" s="10" t="e">
        <f t="shared" si="165"/>
        <v>#DIV/0!</v>
      </c>
      <c r="M729" s="7"/>
      <c r="N729" s="48"/>
      <c r="O729" s="78" cm="1">
        <f t="array" ref="O729">IF(M729&lt;12.5, 0,
IF(M729&lt;29, 6.25,
IF(M729&lt;50, 6.5,
IF(M729&lt;79, 6.75,
VALUE(SUBSTITUTE(
INDEX(RESUMO!$J$2:$J$100, MATCH(1,
(D729&gt;=RESUMO!$H$2:$H$100)*(D729&lt;=RESUMO!$I$2:$I$100)*(M729&gt;=RESUMO!$K$2:$K$100)*(M729&lt;=RESUMO!$L$2:$L$100),
0)), "R$ ", ""))
))))</f>
        <v>0</v>
      </c>
      <c r="P729" s="9"/>
      <c r="Q729" s="10" t="e">
        <f t="shared" si="166"/>
        <v>#DIV/0!</v>
      </c>
      <c r="R729" s="5">
        <f t="shared" si="167"/>
        <v>0</v>
      </c>
      <c r="S729" s="5">
        <f t="shared" si="168"/>
        <v>0</v>
      </c>
      <c r="T729" s="5">
        <f t="shared" si="169"/>
        <v>0</v>
      </c>
      <c r="U729" s="5">
        <f t="shared" si="170"/>
        <v>0</v>
      </c>
    </row>
    <row r="730" spans="1:21" x14ac:dyDescent="0.25">
      <c r="A730" s="11"/>
      <c r="B730" s="6"/>
      <c r="C730" s="9"/>
      <c r="D730" s="6"/>
      <c r="E730" s="8"/>
      <c r="F730" s="49"/>
      <c r="G730" s="9"/>
      <c r="H730" s="9"/>
      <c r="I730" s="48"/>
      <c r="J730" s="78" cm="1">
        <f t="array" ref="J730">IF(H730&lt;12.5, H730/2,
IF(H730&lt;29, 6.25,
IF(H730&lt;50, 6.5,
IF(H730&lt;79, 6.75,
VALUE(SUBSTITUTE(
INDEX(RESUMO!$J$2:$J$100, MATCH(1,
(D730&gt;=RESUMO!$H$2:$H$100)*(D730&lt;=RESUMO!$I$2:$I$100)*(H730&gt;=RESUMO!$K$2:$K$100)*(H730&lt;=RESUMO!$L$2:$L$100),
0)), "R$ ", ""))
))))</f>
        <v>0</v>
      </c>
      <c r="K730" s="9"/>
      <c r="L730" s="10" t="e">
        <f t="shared" si="165"/>
        <v>#DIV/0!</v>
      </c>
      <c r="M730" s="7"/>
      <c r="N730" s="48"/>
      <c r="O730" s="78" cm="1">
        <f t="array" ref="O730">IF(M730&lt;12.5, 0,
IF(M730&lt;29, 6.25,
IF(M730&lt;50, 6.5,
IF(M730&lt;79, 6.75,
VALUE(SUBSTITUTE(
INDEX(RESUMO!$J$2:$J$100, MATCH(1,
(D730&gt;=RESUMO!$H$2:$H$100)*(D730&lt;=RESUMO!$I$2:$I$100)*(M730&gt;=RESUMO!$K$2:$K$100)*(M730&lt;=RESUMO!$L$2:$L$100),
0)), "R$ ", ""))
))))</f>
        <v>0</v>
      </c>
      <c r="P730" s="9"/>
      <c r="Q730" s="10" t="e">
        <f t="shared" si="166"/>
        <v>#DIV/0!</v>
      </c>
      <c r="R730" s="5">
        <f t="shared" si="167"/>
        <v>0</v>
      </c>
      <c r="S730" s="5">
        <f t="shared" si="168"/>
        <v>0</v>
      </c>
      <c r="T730" s="5">
        <f t="shared" si="169"/>
        <v>0</v>
      </c>
      <c r="U730" s="5">
        <f t="shared" si="170"/>
        <v>0</v>
      </c>
    </row>
    <row r="731" spans="1:21" x14ac:dyDescent="0.25">
      <c r="A731" s="11"/>
      <c r="B731" s="6"/>
      <c r="C731" s="9"/>
      <c r="D731" s="6"/>
      <c r="E731" s="8"/>
      <c r="F731" s="49"/>
      <c r="G731" s="9"/>
      <c r="H731" s="9"/>
      <c r="I731" s="48"/>
      <c r="J731" s="78" cm="1">
        <f t="array" ref="J731">IF(H731&lt;12.5, H731/2,
IF(H731&lt;29, 6.25,
IF(H731&lt;50, 6.5,
IF(H731&lt;79, 6.75,
VALUE(SUBSTITUTE(
INDEX(RESUMO!$J$2:$J$100, MATCH(1,
(D731&gt;=RESUMO!$H$2:$H$100)*(D731&lt;=RESUMO!$I$2:$I$100)*(H731&gt;=RESUMO!$K$2:$K$100)*(H731&lt;=RESUMO!$L$2:$L$100),
0)), "R$ ", ""))
))))</f>
        <v>0</v>
      </c>
      <c r="K731" s="9"/>
      <c r="L731" s="10" t="e">
        <f t="shared" si="165"/>
        <v>#DIV/0!</v>
      </c>
      <c r="M731" s="7"/>
      <c r="N731" s="48"/>
      <c r="O731" s="78" cm="1">
        <f t="array" ref="O731">IF(M731&lt;12.5, 0,
IF(M731&lt;29, 6.25,
IF(M731&lt;50, 6.5,
IF(M731&lt;79, 6.75,
VALUE(SUBSTITUTE(
INDEX(RESUMO!$J$2:$J$100, MATCH(1,
(D731&gt;=RESUMO!$H$2:$H$100)*(D731&lt;=RESUMO!$I$2:$I$100)*(M731&gt;=RESUMO!$K$2:$K$100)*(M731&lt;=RESUMO!$L$2:$L$100),
0)), "R$ ", ""))
))))</f>
        <v>0</v>
      </c>
      <c r="P731" s="9"/>
      <c r="Q731" s="10" t="e">
        <f t="shared" si="166"/>
        <v>#DIV/0!</v>
      </c>
      <c r="R731" s="5">
        <f t="shared" si="167"/>
        <v>0</v>
      </c>
      <c r="S731" s="5">
        <f t="shared" si="168"/>
        <v>0</v>
      </c>
      <c r="T731" s="5">
        <f t="shared" si="169"/>
        <v>0</v>
      </c>
      <c r="U731" s="5">
        <f t="shared" si="170"/>
        <v>0</v>
      </c>
    </row>
    <row r="732" spans="1:21" x14ac:dyDescent="0.25">
      <c r="A732" s="11"/>
      <c r="B732" s="6"/>
      <c r="C732" s="9"/>
      <c r="D732" s="6"/>
      <c r="E732" s="8"/>
      <c r="F732" s="49"/>
      <c r="G732" s="9"/>
      <c r="H732" s="9"/>
      <c r="I732" s="48"/>
      <c r="J732" s="78" cm="1">
        <f t="array" ref="J732">IF(H732&lt;12.5, H732/2,
IF(H732&lt;29, 6.25,
IF(H732&lt;50, 6.5,
IF(H732&lt;79, 6.75,
VALUE(SUBSTITUTE(
INDEX(RESUMO!$J$2:$J$100, MATCH(1,
(D732&gt;=RESUMO!$H$2:$H$100)*(D732&lt;=RESUMO!$I$2:$I$100)*(H732&gt;=RESUMO!$K$2:$K$100)*(H732&lt;=RESUMO!$L$2:$L$100),
0)), "R$ ", ""))
))))</f>
        <v>0</v>
      </c>
      <c r="K732" s="9"/>
      <c r="L732" s="10" t="e">
        <f t="shared" si="165"/>
        <v>#DIV/0!</v>
      </c>
      <c r="M732" s="7"/>
      <c r="N732" s="48"/>
      <c r="O732" s="78" cm="1">
        <f t="array" ref="O732">IF(M732&lt;12.5, 0,
IF(M732&lt;29, 6.25,
IF(M732&lt;50, 6.5,
IF(M732&lt;79, 6.75,
VALUE(SUBSTITUTE(
INDEX(RESUMO!$J$2:$J$100, MATCH(1,
(D732&gt;=RESUMO!$H$2:$H$100)*(D732&lt;=RESUMO!$I$2:$I$100)*(M732&gt;=RESUMO!$K$2:$K$100)*(M732&lt;=RESUMO!$L$2:$L$100),
0)), "R$ ", ""))
))))</f>
        <v>0</v>
      </c>
      <c r="P732" s="9"/>
      <c r="Q732" s="10" t="e">
        <f t="shared" si="166"/>
        <v>#DIV/0!</v>
      </c>
      <c r="R732" s="5">
        <f t="shared" si="167"/>
        <v>0</v>
      </c>
      <c r="S732" s="5">
        <f t="shared" si="168"/>
        <v>0</v>
      </c>
      <c r="T732" s="5">
        <f t="shared" si="169"/>
        <v>0</v>
      </c>
      <c r="U732" s="5">
        <f t="shared" si="170"/>
        <v>0</v>
      </c>
    </row>
    <row r="733" spans="1:21" x14ac:dyDescent="0.25">
      <c r="A733" s="11"/>
      <c r="B733" s="6"/>
      <c r="C733" s="9"/>
      <c r="D733" s="6"/>
      <c r="E733" s="8"/>
      <c r="F733" s="49"/>
      <c r="G733" s="9"/>
      <c r="H733" s="9"/>
      <c r="I733" s="48"/>
      <c r="J733" s="78" cm="1">
        <f t="array" ref="J733">IF(H733&lt;12.5, H733/2,
IF(H733&lt;29, 6.25,
IF(H733&lt;50, 6.5,
IF(H733&lt;79, 6.75,
VALUE(SUBSTITUTE(
INDEX(RESUMO!$J$2:$J$100, MATCH(1,
(D733&gt;=RESUMO!$H$2:$H$100)*(D733&lt;=RESUMO!$I$2:$I$100)*(H733&gt;=RESUMO!$K$2:$K$100)*(H733&lt;=RESUMO!$L$2:$L$100),
0)), "R$ ", ""))
))))</f>
        <v>0</v>
      </c>
      <c r="K733" s="9"/>
      <c r="L733" s="10" t="e">
        <f t="shared" si="135"/>
        <v>#DIV/0!</v>
      </c>
      <c r="M733" s="7"/>
      <c r="N733" s="48"/>
      <c r="O733" s="78" cm="1">
        <f t="array" ref="O733">IF(M733&lt;12.5, 0,
IF(M733&lt;29, 6.25,
IF(M733&lt;50, 6.5,
IF(M733&lt;79, 6.75,
VALUE(SUBSTITUTE(
INDEX(RESUMO!$J$2:$J$100, MATCH(1,
(D733&gt;=RESUMO!$H$2:$H$100)*(D733&lt;=RESUMO!$I$2:$I$100)*(M733&gt;=RESUMO!$K$2:$K$100)*(M733&lt;=RESUMO!$L$2:$L$100),
0)), "R$ ", ""))
))))</f>
        <v>0</v>
      </c>
      <c r="P733" s="9"/>
      <c r="Q733" s="10" t="e">
        <f t="shared" si="136"/>
        <v>#DIV/0!</v>
      </c>
      <c r="R733" s="5">
        <f t="shared" si="137"/>
        <v>0</v>
      </c>
      <c r="S733" s="5">
        <f t="shared" si="138"/>
        <v>0</v>
      </c>
      <c r="T733" s="5">
        <f t="shared" si="139"/>
        <v>0</v>
      </c>
      <c r="U733" s="5">
        <f t="shared" si="140"/>
        <v>0</v>
      </c>
    </row>
    <row r="734" spans="1:21" x14ac:dyDescent="0.25">
      <c r="A734" s="11"/>
      <c r="B734" s="6"/>
      <c r="C734" s="9"/>
      <c r="D734" s="6"/>
      <c r="E734" s="8"/>
      <c r="F734" s="49"/>
      <c r="G734" s="9"/>
      <c r="H734" s="9"/>
      <c r="I734" s="48"/>
      <c r="J734" s="78" cm="1">
        <f t="array" ref="J734">IF(H734&lt;12.5, H734/2,
IF(H734&lt;29, 6.25,
IF(H734&lt;50, 6.5,
IF(H734&lt;79, 6.75,
VALUE(SUBSTITUTE(
INDEX(RESUMO!$J$2:$J$100, MATCH(1,
(D734&gt;=RESUMO!$H$2:$H$100)*(D734&lt;=RESUMO!$I$2:$I$100)*(H734&gt;=RESUMO!$K$2:$K$100)*(H734&lt;=RESUMO!$L$2:$L$100),
0)), "R$ ", ""))
))))</f>
        <v>0</v>
      </c>
      <c r="K734" s="9"/>
      <c r="L734" s="10" t="e">
        <f t="shared" si="135"/>
        <v>#DIV/0!</v>
      </c>
      <c r="M734" s="7"/>
      <c r="N734" s="48"/>
      <c r="O734" s="78" cm="1">
        <f t="array" ref="O734">IF(M734&lt;12.5, 0,
IF(M734&lt;29, 6.25,
IF(M734&lt;50, 6.5,
IF(M734&lt;79, 6.75,
VALUE(SUBSTITUTE(
INDEX(RESUMO!$J$2:$J$100, MATCH(1,
(D734&gt;=RESUMO!$H$2:$H$100)*(D734&lt;=RESUMO!$I$2:$I$100)*(M734&gt;=RESUMO!$K$2:$K$100)*(M734&lt;=RESUMO!$L$2:$L$100),
0)), "R$ ", ""))
))))</f>
        <v>0</v>
      </c>
      <c r="P734" s="9"/>
      <c r="Q734" s="10" t="e">
        <f t="shared" si="136"/>
        <v>#DIV/0!</v>
      </c>
      <c r="R734" s="5">
        <f t="shared" si="137"/>
        <v>0</v>
      </c>
      <c r="S734" s="5">
        <f t="shared" si="138"/>
        <v>0</v>
      </c>
      <c r="T734" s="5">
        <f t="shared" si="139"/>
        <v>0</v>
      </c>
      <c r="U734" s="5">
        <f t="shared" si="140"/>
        <v>0</v>
      </c>
    </row>
    <row r="735" spans="1:21" x14ac:dyDescent="0.25">
      <c r="A735" s="11"/>
      <c r="B735" s="6"/>
      <c r="C735" s="9"/>
      <c r="D735" s="6"/>
      <c r="E735" s="8"/>
      <c r="F735" s="49"/>
      <c r="G735" s="9"/>
      <c r="H735" s="9"/>
      <c r="I735" s="48"/>
      <c r="J735" s="78" cm="1">
        <f t="array" ref="J735">IF(H735&lt;12.5, H735/2,
IF(H735&lt;29, 6.25,
IF(H735&lt;50, 6.5,
IF(H735&lt;79, 6.75,
VALUE(SUBSTITUTE(
INDEX(RESUMO!$J$2:$J$100, MATCH(1,
(D735&gt;=RESUMO!$H$2:$H$100)*(D735&lt;=RESUMO!$I$2:$I$100)*(H735&gt;=RESUMO!$K$2:$K$100)*(H735&lt;=RESUMO!$L$2:$L$100),
0)), "R$ ", ""))
))))</f>
        <v>0</v>
      </c>
      <c r="K735" s="9"/>
      <c r="L735" s="10" t="e">
        <f t="shared" si="135"/>
        <v>#DIV/0!</v>
      </c>
      <c r="M735" s="7"/>
      <c r="N735" s="48"/>
      <c r="O735" s="78" cm="1">
        <f t="array" ref="O735">IF(M735&lt;12.5, 0,
IF(M735&lt;29, 6.25,
IF(M735&lt;50, 6.5,
IF(M735&lt;79, 6.75,
VALUE(SUBSTITUTE(
INDEX(RESUMO!$J$2:$J$100, MATCH(1,
(D735&gt;=RESUMO!$H$2:$H$100)*(D735&lt;=RESUMO!$I$2:$I$100)*(M735&gt;=RESUMO!$K$2:$K$100)*(M735&lt;=RESUMO!$L$2:$L$100),
0)), "R$ ", ""))
))))</f>
        <v>0</v>
      </c>
      <c r="P735" s="9"/>
      <c r="Q735" s="10" t="e">
        <f t="shared" si="136"/>
        <v>#DIV/0!</v>
      </c>
      <c r="R735" s="5">
        <f t="shared" si="137"/>
        <v>0</v>
      </c>
      <c r="S735" s="5">
        <f t="shared" si="138"/>
        <v>0</v>
      </c>
      <c r="T735" s="5">
        <f t="shared" si="139"/>
        <v>0</v>
      </c>
      <c r="U735" s="5">
        <f t="shared" si="140"/>
        <v>0</v>
      </c>
    </row>
    <row r="736" spans="1:21" x14ac:dyDescent="0.25">
      <c r="A736" s="11"/>
      <c r="B736" s="6"/>
      <c r="C736" s="9"/>
      <c r="D736" s="6"/>
      <c r="E736" s="8"/>
      <c r="F736" s="49"/>
      <c r="G736" s="9"/>
      <c r="H736" s="9"/>
      <c r="I736" s="48"/>
      <c r="J736" s="78" cm="1">
        <f t="array" ref="J736">IF(H736&lt;12.5, H736/2,
IF(H736&lt;29, 6.25,
IF(H736&lt;50, 6.5,
IF(H736&lt;79, 6.75,
VALUE(SUBSTITUTE(
INDEX(RESUMO!$J$2:$J$100, MATCH(1,
(D736&gt;=RESUMO!$H$2:$H$100)*(D736&lt;=RESUMO!$I$2:$I$100)*(H736&gt;=RESUMO!$K$2:$K$100)*(H736&lt;=RESUMO!$L$2:$L$100),
0)), "R$ ", ""))
))))</f>
        <v>0</v>
      </c>
      <c r="K736" s="9"/>
      <c r="L736" s="10" t="e">
        <f t="shared" si="135"/>
        <v>#DIV/0!</v>
      </c>
      <c r="M736" s="7"/>
      <c r="N736" s="48"/>
      <c r="O736" s="78" cm="1">
        <f t="array" ref="O736">IF(M736&lt;12.5, 0,
IF(M736&lt;29, 6.25,
IF(M736&lt;50, 6.5,
IF(M736&lt;79, 6.75,
VALUE(SUBSTITUTE(
INDEX(RESUMO!$J$2:$J$100, MATCH(1,
(D736&gt;=RESUMO!$H$2:$H$100)*(D736&lt;=RESUMO!$I$2:$I$100)*(M736&gt;=RESUMO!$K$2:$K$100)*(M736&lt;=RESUMO!$L$2:$L$100),
0)), "R$ ", ""))
))))</f>
        <v>0</v>
      </c>
      <c r="P736" s="9"/>
      <c r="Q736" s="10" t="e">
        <f t="shared" si="136"/>
        <v>#DIV/0!</v>
      </c>
      <c r="R736" s="5">
        <f t="shared" si="137"/>
        <v>0</v>
      </c>
      <c r="S736" s="5">
        <f t="shared" si="138"/>
        <v>0</v>
      </c>
      <c r="T736" s="5">
        <f t="shared" si="139"/>
        <v>0</v>
      </c>
      <c r="U736" s="5">
        <f t="shared" si="140"/>
        <v>0</v>
      </c>
    </row>
    <row r="737" spans="1:21" x14ac:dyDescent="0.25">
      <c r="A737" s="11"/>
      <c r="B737" s="6"/>
      <c r="C737" s="9"/>
      <c r="D737" s="6"/>
      <c r="E737" s="8"/>
      <c r="F737" s="49"/>
      <c r="G737" s="9"/>
      <c r="H737" s="9"/>
      <c r="I737" s="48"/>
      <c r="J737" s="78" cm="1">
        <f t="array" ref="J737">IF(H737&lt;12.5, H737/2,
IF(H737&lt;29, 6.25,
IF(H737&lt;50, 6.5,
IF(H737&lt;79, 6.75,
VALUE(SUBSTITUTE(
INDEX(RESUMO!$J$2:$J$100, MATCH(1,
(D737&gt;=RESUMO!$H$2:$H$100)*(D737&lt;=RESUMO!$I$2:$I$100)*(H737&gt;=RESUMO!$K$2:$K$100)*(H737&lt;=RESUMO!$L$2:$L$100),
0)), "R$ ", ""))
))))</f>
        <v>0</v>
      </c>
      <c r="K737" s="9"/>
      <c r="L737" s="10" t="e">
        <f t="shared" si="135"/>
        <v>#DIV/0!</v>
      </c>
      <c r="M737" s="7"/>
      <c r="N737" s="48"/>
      <c r="O737" s="78" cm="1">
        <f t="array" ref="O737">IF(M737&lt;12.5, 0,
IF(M737&lt;29, 6.25,
IF(M737&lt;50, 6.5,
IF(M737&lt;79, 6.75,
VALUE(SUBSTITUTE(
INDEX(RESUMO!$J$2:$J$100, MATCH(1,
(D737&gt;=RESUMO!$H$2:$H$100)*(D737&lt;=RESUMO!$I$2:$I$100)*(M737&gt;=RESUMO!$K$2:$K$100)*(M737&lt;=RESUMO!$L$2:$L$100),
0)), "R$ ", ""))
))))</f>
        <v>0</v>
      </c>
      <c r="P737" s="9"/>
      <c r="Q737" s="10" t="e">
        <f t="shared" si="136"/>
        <v>#DIV/0!</v>
      </c>
      <c r="R737" s="5">
        <f t="shared" si="137"/>
        <v>0</v>
      </c>
      <c r="S737" s="5">
        <f t="shared" si="138"/>
        <v>0</v>
      </c>
      <c r="T737" s="5">
        <f t="shared" si="139"/>
        <v>0</v>
      </c>
      <c r="U737" s="5">
        <f t="shared" si="140"/>
        <v>0</v>
      </c>
    </row>
    <row r="738" spans="1:21" x14ac:dyDescent="0.25">
      <c r="A738" s="11"/>
      <c r="B738" s="6"/>
      <c r="C738" s="9"/>
      <c r="D738" s="6"/>
      <c r="E738" s="8"/>
      <c r="F738" s="49"/>
      <c r="G738" s="9"/>
      <c r="H738" s="9"/>
      <c r="I738" s="48"/>
      <c r="J738" s="78" cm="1">
        <f t="array" ref="J738">IF(H738&lt;12.5, H738/2,
IF(H738&lt;29, 6.25,
IF(H738&lt;50, 6.5,
IF(H738&lt;79, 6.75,
VALUE(SUBSTITUTE(
INDEX(RESUMO!$J$2:$J$100, MATCH(1,
(D738&gt;=RESUMO!$H$2:$H$100)*(D738&lt;=RESUMO!$I$2:$I$100)*(H738&gt;=RESUMO!$K$2:$K$100)*(H738&lt;=RESUMO!$L$2:$L$100),
0)), "R$ ", ""))
))))</f>
        <v>0</v>
      </c>
      <c r="K738" s="9"/>
      <c r="L738" s="10" t="e">
        <f t="shared" si="135"/>
        <v>#DIV/0!</v>
      </c>
      <c r="M738" s="7"/>
      <c r="N738" s="48"/>
      <c r="O738" s="78" cm="1">
        <f t="array" ref="O738">IF(M738&lt;12.5, 0,
IF(M738&lt;29, 6.25,
IF(M738&lt;50, 6.5,
IF(M738&lt;79, 6.75,
VALUE(SUBSTITUTE(
INDEX(RESUMO!$J$2:$J$100, MATCH(1,
(D738&gt;=RESUMO!$H$2:$H$100)*(D738&lt;=RESUMO!$I$2:$I$100)*(M738&gt;=RESUMO!$K$2:$K$100)*(M738&lt;=RESUMO!$L$2:$L$100),
0)), "R$ ", ""))
))))</f>
        <v>0</v>
      </c>
      <c r="P738" s="9"/>
      <c r="Q738" s="10" t="e">
        <f t="shared" si="136"/>
        <v>#DIV/0!</v>
      </c>
      <c r="R738" s="5">
        <f t="shared" si="137"/>
        <v>0</v>
      </c>
      <c r="S738" s="5">
        <f t="shared" si="138"/>
        <v>0</v>
      </c>
      <c r="T738" s="5">
        <f t="shared" si="139"/>
        <v>0</v>
      </c>
      <c r="U738" s="5">
        <f t="shared" si="140"/>
        <v>0</v>
      </c>
    </row>
    <row r="739" spans="1:21" x14ac:dyDescent="0.25">
      <c r="A739" s="11"/>
      <c r="B739" s="6"/>
      <c r="C739" s="9"/>
      <c r="D739" s="6"/>
      <c r="E739" s="8"/>
      <c r="F739" s="49"/>
      <c r="G739" s="9"/>
      <c r="H739" s="9"/>
      <c r="I739" s="48"/>
      <c r="J739" s="78" cm="1">
        <f t="array" ref="J739">IF(H739&lt;12.5, H739/2,
IF(H739&lt;29, 6.25,
IF(H739&lt;50, 6.5,
IF(H739&lt;79, 6.75,
VALUE(SUBSTITUTE(
INDEX(RESUMO!$J$2:$J$100, MATCH(1,
(D739&gt;=RESUMO!$H$2:$H$100)*(D739&lt;=RESUMO!$I$2:$I$100)*(H739&gt;=RESUMO!$K$2:$K$100)*(H739&lt;=RESUMO!$L$2:$L$100),
0)), "R$ ", ""))
))))</f>
        <v>0</v>
      </c>
      <c r="K739" s="9"/>
      <c r="L739" s="10" t="e">
        <f t="shared" si="135"/>
        <v>#DIV/0!</v>
      </c>
      <c r="M739" s="7"/>
      <c r="N739" s="48"/>
      <c r="O739" s="78" cm="1">
        <f t="array" ref="O739">IF(M739&lt;12.5, 0,
IF(M739&lt;29, 6.25,
IF(M739&lt;50, 6.5,
IF(M739&lt;79, 6.75,
VALUE(SUBSTITUTE(
INDEX(RESUMO!$J$2:$J$100, MATCH(1,
(D739&gt;=RESUMO!$H$2:$H$100)*(D739&lt;=RESUMO!$I$2:$I$100)*(M739&gt;=RESUMO!$K$2:$K$100)*(M739&lt;=RESUMO!$L$2:$L$100),
0)), "R$ ", ""))
))))</f>
        <v>0</v>
      </c>
      <c r="P739" s="9"/>
      <c r="Q739" s="10" t="e">
        <f t="shared" si="136"/>
        <v>#DIV/0!</v>
      </c>
      <c r="R739" s="5">
        <f t="shared" si="137"/>
        <v>0</v>
      </c>
      <c r="S739" s="5">
        <f t="shared" si="138"/>
        <v>0</v>
      </c>
      <c r="T739" s="5">
        <f t="shared" si="139"/>
        <v>0</v>
      </c>
      <c r="U739" s="5">
        <f t="shared" si="140"/>
        <v>0</v>
      </c>
    </row>
    <row r="740" spans="1:21" x14ac:dyDescent="0.25">
      <c r="A740" s="11"/>
      <c r="B740" s="6"/>
      <c r="C740" s="9"/>
      <c r="D740" s="6"/>
      <c r="E740" s="8"/>
      <c r="F740" s="49"/>
      <c r="G740" s="9"/>
      <c r="H740" s="9"/>
      <c r="I740" s="48"/>
      <c r="J740" s="78" cm="1">
        <f t="array" ref="J740">IF(H740&lt;12.5, H740/2,
IF(H740&lt;29, 6.25,
IF(H740&lt;50, 6.5,
IF(H740&lt;79, 6.75,
VALUE(SUBSTITUTE(
INDEX(RESUMO!$J$2:$J$100, MATCH(1,
(D740&gt;=RESUMO!$H$2:$H$100)*(D740&lt;=RESUMO!$I$2:$I$100)*(H740&gt;=RESUMO!$K$2:$K$100)*(H740&lt;=RESUMO!$L$2:$L$100),
0)), "R$ ", ""))
))))</f>
        <v>0</v>
      </c>
      <c r="K740" s="9"/>
      <c r="L740" s="10" t="e">
        <f t="shared" si="105"/>
        <v>#DIV/0!</v>
      </c>
      <c r="M740" s="7"/>
      <c r="N740" s="48"/>
      <c r="O740" s="78" cm="1">
        <f t="array" ref="O740">IF(M740&lt;12.5, 0,
IF(M740&lt;29, 6.25,
IF(M740&lt;50, 6.5,
IF(M740&lt;79, 6.75,
VALUE(SUBSTITUTE(
INDEX(RESUMO!$J$2:$J$100, MATCH(1,
(D740&gt;=RESUMO!$H$2:$H$100)*(D740&lt;=RESUMO!$I$2:$I$100)*(M740&gt;=RESUMO!$K$2:$K$100)*(M740&lt;=RESUMO!$L$2:$L$100),
0)), "R$ ", ""))
))))</f>
        <v>0</v>
      </c>
      <c r="P740" s="9"/>
      <c r="Q740" s="10" t="e">
        <f t="shared" si="106"/>
        <v>#DIV/0!</v>
      </c>
      <c r="R740" s="5">
        <f t="shared" si="107"/>
        <v>0</v>
      </c>
      <c r="S740" s="5">
        <f t="shared" si="108"/>
        <v>0</v>
      </c>
      <c r="T740" s="5">
        <f t="shared" si="109"/>
        <v>0</v>
      </c>
      <c r="U740" s="5">
        <f t="shared" si="110"/>
        <v>0</v>
      </c>
    </row>
    <row r="741" spans="1:21" x14ac:dyDescent="0.25">
      <c r="A741" s="11"/>
      <c r="B741" s="6"/>
      <c r="C741" s="9"/>
      <c r="D741" s="6"/>
      <c r="E741" s="8"/>
      <c r="F741" s="49"/>
      <c r="G741" s="9"/>
      <c r="H741" s="9"/>
      <c r="I741" s="48"/>
      <c r="J741" s="78" cm="1">
        <f t="array" ref="J741">IF(H741&lt;12.5, H741/2,
IF(H741&lt;29, 6.25,
IF(H741&lt;50, 6.5,
IF(H741&lt;79, 6.75,
VALUE(SUBSTITUTE(
INDEX(RESUMO!$J$2:$J$100, MATCH(1,
(D741&gt;=RESUMO!$H$2:$H$100)*(D741&lt;=RESUMO!$I$2:$I$100)*(H741&gt;=RESUMO!$K$2:$K$100)*(H741&lt;=RESUMO!$L$2:$L$100),
0)), "R$ ", ""))
))))</f>
        <v>0</v>
      </c>
      <c r="K741" s="9"/>
      <c r="L741" s="10" t="e">
        <f t="shared" si="105"/>
        <v>#DIV/0!</v>
      </c>
      <c r="M741" s="7"/>
      <c r="N741" s="48"/>
      <c r="O741" s="78" cm="1">
        <f t="array" ref="O741">IF(M741&lt;12.5, 0,
IF(M741&lt;29, 6.25,
IF(M741&lt;50, 6.5,
IF(M741&lt;79, 6.75,
VALUE(SUBSTITUTE(
INDEX(RESUMO!$J$2:$J$100, MATCH(1,
(D741&gt;=RESUMO!$H$2:$H$100)*(D741&lt;=RESUMO!$I$2:$I$100)*(M741&gt;=RESUMO!$K$2:$K$100)*(M741&lt;=RESUMO!$L$2:$L$100),
0)), "R$ ", ""))
))))</f>
        <v>0</v>
      </c>
      <c r="P741" s="9"/>
      <c r="Q741" s="10" t="e">
        <f t="shared" si="106"/>
        <v>#DIV/0!</v>
      </c>
      <c r="R741" s="5">
        <f t="shared" si="107"/>
        <v>0</v>
      </c>
      <c r="S741" s="5">
        <f t="shared" si="108"/>
        <v>0</v>
      </c>
      <c r="T741" s="5">
        <f t="shared" si="109"/>
        <v>0</v>
      </c>
      <c r="U741" s="5">
        <f t="shared" si="110"/>
        <v>0</v>
      </c>
    </row>
    <row r="742" spans="1:21" x14ac:dyDescent="0.25">
      <c r="A742" s="11"/>
      <c r="B742" s="6"/>
      <c r="C742" s="9"/>
      <c r="D742" s="6"/>
      <c r="E742" s="8"/>
      <c r="F742" s="49"/>
      <c r="G742" s="9"/>
      <c r="H742" s="9"/>
      <c r="I742" s="48"/>
      <c r="J742" s="78" cm="1">
        <f t="array" ref="J742">IF(H742&lt;12.5, H742/2,
IF(H742&lt;29, 6.25,
IF(H742&lt;50, 6.5,
IF(H742&lt;79, 6.75,
VALUE(SUBSTITUTE(
INDEX(RESUMO!$J$2:$J$100, MATCH(1,
(D742&gt;=RESUMO!$H$2:$H$100)*(D742&lt;=RESUMO!$I$2:$I$100)*(H742&gt;=RESUMO!$K$2:$K$100)*(H742&lt;=RESUMO!$L$2:$L$100),
0)), "R$ ", ""))
))))</f>
        <v>0</v>
      </c>
      <c r="K742" s="9"/>
      <c r="L742" s="10" t="e">
        <f t="shared" si="105"/>
        <v>#DIV/0!</v>
      </c>
      <c r="M742" s="7"/>
      <c r="N742" s="48"/>
      <c r="O742" s="78" cm="1">
        <f t="array" ref="O742">IF(M742&lt;12.5, 0,
IF(M742&lt;29, 6.25,
IF(M742&lt;50, 6.5,
IF(M742&lt;79, 6.75,
VALUE(SUBSTITUTE(
INDEX(RESUMO!$J$2:$J$100, MATCH(1,
(D742&gt;=RESUMO!$H$2:$H$100)*(D742&lt;=RESUMO!$I$2:$I$100)*(M742&gt;=RESUMO!$K$2:$K$100)*(M742&lt;=RESUMO!$L$2:$L$100),
0)), "R$ ", ""))
))))</f>
        <v>0</v>
      </c>
      <c r="P742" s="9"/>
      <c r="Q742" s="10" t="e">
        <f t="shared" si="106"/>
        <v>#DIV/0!</v>
      </c>
      <c r="R742" s="5">
        <f t="shared" si="107"/>
        <v>0</v>
      </c>
      <c r="S742" s="5">
        <f t="shared" si="108"/>
        <v>0</v>
      </c>
      <c r="T742" s="5">
        <f t="shared" si="109"/>
        <v>0</v>
      </c>
      <c r="U742" s="5">
        <f t="shared" si="110"/>
        <v>0</v>
      </c>
    </row>
    <row r="743" spans="1:21" x14ac:dyDescent="0.25">
      <c r="A743" s="11"/>
      <c r="B743" s="6"/>
      <c r="C743" s="9"/>
      <c r="D743" s="6"/>
      <c r="E743" s="8"/>
      <c r="F743" s="49"/>
      <c r="G743" s="9"/>
      <c r="H743" s="9"/>
      <c r="I743" s="48"/>
      <c r="J743" s="78" cm="1">
        <f t="array" ref="J743">IF(H743&lt;12.5, H743/2,
IF(H743&lt;29, 6.25,
IF(H743&lt;50, 6.5,
IF(H743&lt;79, 6.75,
VALUE(SUBSTITUTE(
INDEX(RESUMO!$J$2:$J$100, MATCH(1,
(D743&gt;=RESUMO!$H$2:$H$100)*(D743&lt;=RESUMO!$I$2:$I$100)*(H743&gt;=RESUMO!$K$2:$K$100)*(H743&lt;=RESUMO!$L$2:$L$100),
0)), "R$ ", ""))
))))</f>
        <v>0</v>
      </c>
      <c r="K743" s="9"/>
      <c r="L743" s="10" t="e">
        <f t="shared" si="105"/>
        <v>#DIV/0!</v>
      </c>
      <c r="M743" s="7"/>
      <c r="N743" s="48"/>
      <c r="O743" s="78" cm="1">
        <f t="array" ref="O743">IF(M743&lt;12.5, 0,
IF(M743&lt;29, 6.25,
IF(M743&lt;50, 6.5,
IF(M743&lt;79, 6.75,
VALUE(SUBSTITUTE(
INDEX(RESUMO!$J$2:$J$100, MATCH(1,
(D743&gt;=RESUMO!$H$2:$H$100)*(D743&lt;=RESUMO!$I$2:$I$100)*(M743&gt;=RESUMO!$K$2:$K$100)*(M743&lt;=RESUMO!$L$2:$L$100),
0)), "R$ ", ""))
))))</f>
        <v>0</v>
      </c>
      <c r="P743" s="9"/>
      <c r="Q743" s="10" t="e">
        <f t="shared" si="106"/>
        <v>#DIV/0!</v>
      </c>
      <c r="R743" s="5">
        <f t="shared" si="107"/>
        <v>0</v>
      </c>
      <c r="S743" s="5">
        <f t="shared" si="108"/>
        <v>0</v>
      </c>
      <c r="T743" s="5">
        <f t="shared" si="109"/>
        <v>0</v>
      </c>
      <c r="U743" s="5">
        <f t="shared" si="110"/>
        <v>0</v>
      </c>
    </row>
    <row r="744" spans="1:21" x14ac:dyDescent="0.25">
      <c r="A744" s="11"/>
      <c r="B744" s="6"/>
      <c r="C744" s="9"/>
      <c r="D744" s="6"/>
      <c r="E744" s="8"/>
      <c r="F744" s="49"/>
      <c r="G744" s="9"/>
      <c r="H744" s="9"/>
      <c r="I744" s="48"/>
      <c r="J744" s="78" cm="1">
        <f t="array" ref="J744">IF(H744&lt;12.5, H744/2,
IF(H744&lt;29, 6.25,
IF(H744&lt;50, 6.5,
IF(H744&lt;79, 6.75,
VALUE(SUBSTITUTE(
INDEX(RESUMO!$J$2:$J$100, MATCH(1,
(D744&gt;=RESUMO!$H$2:$H$100)*(D744&lt;=RESUMO!$I$2:$I$100)*(H744&gt;=RESUMO!$K$2:$K$100)*(H744&lt;=RESUMO!$L$2:$L$100),
0)), "R$ ", ""))
))))</f>
        <v>0</v>
      </c>
      <c r="K744" s="9"/>
      <c r="L744" s="10" t="e">
        <f t="shared" si="105"/>
        <v>#DIV/0!</v>
      </c>
      <c r="M744" s="7"/>
      <c r="N744" s="48"/>
      <c r="O744" s="78" cm="1">
        <f t="array" ref="O744">IF(M744&lt;12.5, 0,
IF(M744&lt;29, 6.25,
IF(M744&lt;50, 6.5,
IF(M744&lt;79, 6.75,
VALUE(SUBSTITUTE(
INDEX(RESUMO!$J$2:$J$100, MATCH(1,
(D744&gt;=RESUMO!$H$2:$H$100)*(D744&lt;=RESUMO!$I$2:$I$100)*(M744&gt;=RESUMO!$K$2:$K$100)*(M744&lt;=RESUMO!$L$2:$L$100),
0)), "R$ ", ""))
))))</f>
        <v>0</v>
      </c>
      <c r="P744" s="9"/>
      <c r="Q744" s="10" t="e">
        <f t="shared" si="106"/>
        <v>#DIV/0!</v>
      </c>
      <c r="R744" s="5">
        <f t="shared" si="107"/>
        <v>0</v>
      </c>
      <c r="S744" s="5">
        <f t="shared" si="108"/>
        <v>0</v>
      </c>
      <c r="T744" s="5">
        <f t="shared" si="109"/>
        <v>0</v>
      </c>
      <c r="U744" s="5">
        <f t="shared" si="110"/>
        <v>0</v>
      </c>
    </row>
    <row r="745" spans="1:21" x14ac:dyDescent="0.25">
      <c r="A745" s="11"/>
      <c r="B745" s="6"/>
      <c r="C745" s="9"/>
      <c r="D745" s="6"/>
      <c r="E745" s="8"/>
      <c r="F745" s="49"/>
      <c r="G745" s="9"/>
      <c r="H745" s="9"/>
      <c r="I745" s="48"/>
      <c r="J745" s="78" cm="1">
        <f t="array" ref="J745">IF(H745&lt;12.5, H745/2,
IF(H745&lt;29, 6.25,
IF(H745&lt;50, 6.5,
IF(H745&lt;79, 6.75,
VALUE(SUBSTITUTE(
INDEX(RESUMO!$J$2:$J$100, MATCH(1,
(D745&gt;=RESUMO!$H$2:$H$100)*(D745&lt;=RESUMO!$I$2:$I$100)*(H745&gt;=RESUMO!$K$2:$K$100)*(H745&lt;=RESUMO!$L$2:$L$100),
0)), "R$ ", ""))
))))</f>
        <v>0</v>
      </c>
      <c r="K745" s="9"/>
      <c r="L745" s="10" t="e">
        <f t="shared" si="105"/>
        <v>#DIV/0!</v>
      </c>
      <c r="M745" s="7"/>
      <c r="N745" s="48"/>
      <c r="O745" s="78" cm="1">
        <f t="array" ref="O745">IF(M745&lt;12.5, 0,
IF(M745&lt;29, 6.25,
IF(M745&lt;50, 6.5,
IF(M745&lt;79, 6.75,
VALUE(SUBSTITUTE(
INDEX(RESUMO!$J$2:$J$100, MATCH(1,
(D745&gt;=RESUMO!$H$2:$H$100)*(D745&lt;=RESUMO!$I$2:$I$100)*(M745&gt;=RESUMO!$K$2:$K$100)*(M745&lt;=RESUMO!$L$2:$L$100),
0)), "R$ ", ""))
))))</f>
        <v>0</v>
      </c>
      <c r="P745" s="9"/>
      <c r="Q745" s="10" t="e">
        <f t="shared" si="106"/>
        <v>#DIV/0!</v>
      </c>
      <c r="R745" s="5">
        <f t="shared" si="107"/>
        <v>0</v>
      </c>
      <c r="S745" s="5">
        <f t="shared" si="108"/>
        <v>0</v>
      </c>
      <c r="T745" s="5">
        <f t="shared" si="109"/>
        <v>0</v>
      </c>
      <c r="U745" s="5">
        <f t="shared" si="110"/>
        <v>0</v>
      </c>
    </row>
    <row r="746" spans="1:21" x14ac:dyDescent="0.25">
      <c r="A746" s="11"/>
      <c r="B746" s="6"/>
      <c r="C746" s="9"/>
      <c r="D746" s="6"/>
      <c r="E746" s="8"/>
      <c r="F746" s="49"/>
      <c r="G746" s="9"/>
      <c r="H746" s="9"/>
      <c r="I746" s="48"/>
      <c r="J746" s="78" cm="1">
        <f t="array" ref="J746">IF(H746&lt;12.5, H746/2,
IF(H746&lt;29, 6.25,
IF(H746&lt;50, 6.5,
IF(H746&lt;79, 6.75,
VALUE(SUBSTITUTE(
INDEX(RESUMO!$J$2:$J$100, MATCH(1,
(D746&gt;=RESUMO!$H$2:$H$100)*(D746&lt;=RESUMO!$I$2:$I$100)*(H746&gt;=RESUMO!$K$2:$K$100)*(H746&lt;=RESUMO!$L$2:$L$100),
0)), "R$ ", ""))
))))</f>
        <v>0</v>
      </c>
      <c r="K746" s="9"/>
      <c r="L746" s="10" t="e">
        <f t="shared" si="60"/>
        <v>#DIV/0!</v>
      </c>
      <c r="M746" s="7"/>
      <c r="N746" s="48"/>
      <c r="O746" s="78" cm="1">
        <f t="array" ref="O746">IF(M746&lt;12.5, 0,
IF(M746&lt;29, 6.25,
IF(M746&lt;50, 6.5,
IF(M746&lt;79, 6.75,
VALUE(SUBSTITUTE(
INDEX(RESUMO!$J$2:$J$100, MATCH(1,
(D746&gt;=RESUMO!$H$2:$H$100)*(D746&lt;=RESUMO!$I$2:$I$100)*(M746&gt;=RESUMO!$K$2:$K$100)*(M746&lt;=RESUMO!$L$2:$L$100),
0)), "R$ ", ""))
))))</f>
        <v>0</v>
      </c>
      <c r="P746" s="9"/>
      <c r="Q746" s="10" t="e">
        <f t="shared" si="61"/>
        <v>#DIV/0!</v>
      </c>
      <c r="R746" s="5">
        <f t="shared" si="62"/>
        <v>0</v>
      </c>
      <c r="S746" s="5">
        <f t="shared" si="63"/>
        <v>0</v>
      </c>
      <c r="T746" s="5">
        <f t="shared" si="64"/>
        <v>0</v>
      </c>
      <c r="U746" s="5">
        <f t="shared" si="65"/>
        <v>0</v>
      </c>
    </row>
    <row r="747" spans="1:21" x14ac:dyDescent="0.25">
      <c r="A747" s="11"/>
      <c r="B747" s="6"/>
      <c r="C747" s="9"/>
      <c r="D747" s="6"/>
      <c r="E747" s="8"/>
      <c r="F747" s="49"/>
      <c r="G747" s="9"/>
      <c r="H747" s="9"/>
      <c r="I747" s="48"/>
      <c r="J747" s="78" cm="1">
        <f t="array" ref="J747">IF(H747&lt;12.5, H747/2,
IF(H747&lt;29, 6.25,
IF(H747&lt;50, 6.5,
IF(H747&lt;79, 6.75,
VALUE(SUBSTITUTE(
INDEX(RESUMO!$J$2:$J$100, MATCH(1,
(D747&gt;=RESUMO!$H$2:$H$100)*(D747&lt;=RESUMO!$I$2:$I$100)*(H747&gt;=RESUMO!$K$2:$K$100)*(H747&lt;=RESUMO!$L$2:$L$100),
0)), "R$ ", ""))
))))</f>
        <v>0</v>
      </c>
      <c r="K747" s="9"/>
      <c r="L747" s="10" t="e">
        <f t="shared" si="60"/>
        <v>#DIV/0!</v>
      </c>
      <c r="M747" s="7"/>
      <c r="N747" s="48"/>
      <c r="O747" s="78" cm="1">
        <f t="array" ref="O747">IF(M747&lt;12.5, 0,
IF(M747&lt;29, 6.25,
IF(M747&lt;50, 6.5,
IF(M747&lt;79, 6.75,
VALUE(SUBSTITUTE(
INDEX(RESUMO!$J$2:$J$100, MATCH(1,
(D747&gt;=RESUMO!$H$2:$H$100)*(D747&lt;=RESUMO!$I$2:$I$100)*(M747&gt;=RESUMO!$K$2:$K$100)*(M747&lt;=RESUMO!$L$2:$L$100),
0)), "R$ ", ""))
))))</f>
        <v>0</v>
      </c>
      <c r="P747" s="9"/>
      <c r="Q747" s="10" t="e">
        <f t="shared" si="61"/>
        <v>#DIV/0!</v>
      </c>
      <c r="R747" s="5">
        <f t="shared" si="62"/>
        <v>0</v>
      </c>
      <c r="S747" s="5">
        <f t="shared" si="63"/>
        <v>0</v>
      </c>
      <c r="T747" s="5">
        <f t="shared" si="64"/>
        <v>0</v>
      </c>
      <c r="U747" s="5">
        <f t="shared" si="65"/>
        <v>0</v>
      </c>
    </row>
    <row r="748" spans="1:21" ht="15.75" thickBot="1" x14ac:dyDescent="0.3">
      <c r="A748" s="12"/>
      <c r="B748" s="13"/>
      <c r="C748" s="14"/>
      <c r="D748" s="13"/>
      <c r="E748" s="15"/>
      <c r="F748" s="50"/>
      <c r="G748" s="14"/>
      <c r="H748" s="14"/>
      <c r="I748" s="63"/>
      <c r="J748" s="78" cm="1">
        <f t="array" ref="J748">IF(H748&lt;12.5, H748/2,
IF(H748&lt;29, 6.25,
IF(H748&lt;50, 6.5,
IF(H748&lt;79, 6.75,
VALUE(SUBSTITUTE(
INDEX(RESUMO!$J$2:$J$100, MATCH(1,
(D748&gt;=RESUMO!$H$2:$H$100)*(D748&lt;=RESUMO!$I$2:$I$100)*(H748&gt;=RESUMO!$K$2:$K$100)*(H748&lt;=RESUMO!$L$2:$L$100),
0)), "R$ ", ""))
))))</f>
        <v>0</v>
      </c>
      <c r="K748" s="14"/>
      <c r="L748" s="10" t="e">
        <f t="shared" si="60"/>
        <v>#DIV/0!</v>
      </c>
      <c r="M748" s="16"/>
      <c r="N748" s="63"/>
      <c r="O748" s="78" cm="1">
        <f t="array" ref="O748">IF(M748&lt;12.5, 0,
IF(M748&lt;29, 6.25,
IF(M748&lt;50, 6.5,
IF(M748&lt;79, 6.75,
VALUE(SUBSTITUTE(
INDEX(RESUMO!$J$2:$J$100, MATCH(1,
(D748&gt;=RESUMO!$H$2:$H$100)*(D748&lt;=RESUMO!$I$2:$I$100)*(M748&gt;=RESUMO!$K$2:$K$100)*(M748&lt;=RESUMO!$L$2:$L$100),
0)), "R$ ", ""))
))))</f>
        <v>0</v>
      </c>
      <c r="P748" s="14"/>
      <c r="Q748" s="10" t="e">
        <f t="shared" si="61"/>
        <v>#DIV/0!</v>
      </c>
      <c r="R748" s="5">
        <f t="shared" si="62"/>
        <v>0</v>
      </c>
      <c r="S748" s="5">
        <f t="shared" si="63"/>
        <v>0</v>
      </c>
      <c r="T748" s="5">
        <f t="shared" si="64"/>
        <v>0</v>
      </c>
      <c r="U748" s="5">
        <f t="shared" si="65"/>
        <v>0</v>
      </c>
    </row>
  </sheetData>
  <autoFilter ref="A1:U748" xr:uid="{C1340328-14F0-449B-ABA3-1D16B738DF83}"/>
  <conditionalFormatting sqref="A392:A393">
    <cfRule type="expression" dxfId="131" priority="26">
      <formula>ISEVEN(ROW())</formula>
    </cfRule>
  </conditionalFormatting>
  <conditionalFormatting sqref="A395">
    <cfRule type="expression" dxfId="130" priority="25">
      <formula>ISEVEN(ROW())</formula>
    </cfRule>
  </conditionalFormatting>
  <conditionalFormatting sqref="A397">
    <cfRule type="expression" dxfId="129" priority="24">
      <formula>ISEVEN(ROW())</formula>
    </cfRule>
  </conditionalFormatting>
  <conditionalFormatting sqref="A403:A404">
    <cfRule type="expression" dxfId="128" priority="23">
      <formula>ISEVEN(ROW())</formula>
    </cfRule>
  </conditionalFormatting>
  <conditionalFormatting sqref="A406:A410">
    <cfRule type="expression" dxfId="127" priority="22">
      <formula>ISEVEN(ROW())</formula>
    </cfRule>
  </conditionalFormatting>
  <conditionalFormatting sqref="A413:A415">
    <cfRule type="expression" dxfId="126" priority="21">
      <formula>ISEVEN(ROW())</formula>
    </cfRule>
  </conditionalFormatting>
  <conditionalFormatting sqref="A418">
    <cfRule type="expression" dxfId="125" priority="20">
      <formula>ISEVEN(ROW())</formula>
    </cfRule>
  </conditionalFormatting>
  <conditionalFormatting sqref="A422:A427">
    <cfRule type="expression" dxfId="124" priority="19">
      <formula>ISEVEN(ROW())</formula>
    </cfRule>
  </conditionalFormatting>
  <conditionalFormatting sqref="A434">
    <cfRule type="expression" dxfId="123" priority="18">
      <formula>ISEVEN(ROW())</formula>
    </cfRule>
  </conditionalFormatting>
  <conditionalFormatting sqref="A438">
    <cfRule type="expression" dxfId="122" priority="17">
      <formula>ISEVEN(ROW())</formula>
    </cfRule>
  </conditionalFormatting>
  <conditionalFormatting sqref="A451:A452">
    <cfRule type="expression" dxfId="121" priority="16">
      <formula>ISEVEN(ROW())</formula>
    </cfRule>
  </conditionalFormatting>
  <conditionalFormatting sqref="A2:G11 H2:T2 P3:T121 K3:N170 P122:U214 A171:N214 A215:U382 H383:U383 B392:U393 A394:U394 B395:U395 A396:U396 B397:U397 A398:U402 B403:U404 H405:U405 B406:U410 A411:U412 B413:U415 A416:U417 B418:U418 A419:U421 B422:U427 A428:U433 B434:U434 B438:U438 A439:U439 H440:U440 A441:U450 B451:U452 A42:I57 A62:I63 A65:I65 A69:I72 A74:I74 A76:I78 A80:I81 A82:J82 A83:I121 A122:J170 J2:J81 U2:U121 H3:I41 O3:O229 H58:I61 H66:I68 J83:J229">
    <cfRule type="expression" dxfId="120" priority="787">
      <formula>ISEVEN(ROW())</formula>
    </cfRule>
  </conditionalFormatting>
  <conditionalFormatting sqref="A12:G12">
    <cfRule type="expression" dxfId="119" priority="769">
      <formula>ISEVEN(ROW())</formula>
    </cfRule>
  </conditionalFormatting>
  <conditionalFormatting sqref="A13:G13">
    <cfRule type="expression" dxfId="118" priority="760">
      <formula>ISEVEN(ROW())</formula>
    </cfRule>
  </conditionalFormatting>
  <conditionalFormatting sqref="A14:G14">
    <cfRule type="expression" dxfId="117" priority="742">
      <formula>ISEVEN(ROW())</formula>
    </cfRule>
  </conditionalFormatting>
  <conditionalFormatting sqref="A15:G15">
    <cfRule type="expression" dxfId="116" priority="733">
      <formula>ISEVEN(ROW())</formula>
    </cfRule>
  </conditionalFormatting>
  <conditionalFormatting sqref="A16:G16">
    <cfRule type="expression" dxfId="115" priority="724">
      <formula>ISEVEN(ROW())</formula>
    </cfRule>
  </conditionalFormatting>
  <conditionalFormatting sqref="A17:G17">
    <cfRule type="expression" dxfId="114" priority="715">
      <formula>ISEVEN(ROW())</formula>
    </cfRule>
  </conditionalFormatting>
  <conditionalFormatting sqref="A18:G18">
    <cfRule type="expression" dxfId="113" priority="679">
      <formula>ISEVEN(ROW())</formula>
    </cfRule>
  </conditionalFormatting>
  <conditionalFormatting sqref="A19:G19">
    <cfRule type="expression" dxfId="112" priority="661">
      <formula>ISEVEN(ROW())</formula>
    </cfRule>
  </conditionalFormatting>
  <conditionalFormatting sqref="A20:G20">
    <cfRule type="expression" dxfId="111" priority="652">
      <formula>ISEVEN(ROW())</formula>
    </cfRule>
  </conditionalFormatting>
  <conditionalFormatting sqref="A21:G21">
    <cfRule type="expression" dxfId="110" priority="607">
      <formula>ISEVEN(ROW())</formula>
    </cfRule>
  </conditionalFormatting>
  <conditionalFormatting sqref="A22:G22">
    <cfRule type="expression" dxfId="109" priority="598">
      <formula>ISEVEN(ROW())</formula>
    </cfRule>
  </conditionalFormatting>
  <conditionalFormatting sqref="A23:G23">
    <cfRule type="expression" dxfId="108" priority="589">
      <formula>ISEVEN(ROW())</formula>
    </cfRule>
  </conditionalFormatting>
  <conditionalFormatting sqref="A24:G24">
    <cfRule type="expression" dxfId="107" priority="573">
      <formula>ISEVEN(ROW())</formula>
    </cfRule>
  </conditionalFormatting>
  <conditionalFormatting sqref="A25:G25">
    <cfRule type="expression" dxfId="106" priority="564">
      <formula>ISEVEN(ROW())</formula>
    </cfRule>
  </conditionalFormatting>
  <conditionalFormatting sqref="A26:G26">
    <cfRule type="expression" dxfId="105" priority="561">
      <formula>ISEVEN(ROW())</formula>
    </cfRule>
  </conditionalFormatting>
  <conditionalFormatting sqref="A27:G27">
    <cfRule type="expression" dxfId="104" priority="552">
      <formula>ISEVEN(ROW())</formula>
    </cfRule>
  </conditionalFormatting>
  <conditionalFormatting sqref="A28:G28">
    <cfRule type="expression" dxfId="103" priority="534">
      <formula>ISEVEN(ROW())</formula>
    </cfRule>
  </conditionalFormatting>
  <conditionalFormatting sqref="A29:G29">
    <cfRule type="expression" dxfId="102" priority="525">
      <formula>ISEVEN(ROW())</formula>
    </cfRule>
  </conditionalFormatting>
  <conditionalFormatting sqref="A30:G30">
    <cfRule type="expression" dxfId="101" priority="516">
      <formula>ISEVEN(ROW())</formula>
    </cfRule>
  </conditionalFormatting>
  <conditionalFormatting sqref="A31:G31">
    <cfRule type="expression" dxfId="100" priority="507">
      <formula>ISEVEN(ROW())</formula>
    </cfRule>
  </conditionalFormatting>
  <conditionalFormatting sqref="A32:G32">
    <cfRule type="expression" dxfId="99" priority="498">
      <formula>ISEVEN(ROW())</formula>
    </cfRule>
  </conditionalFormatting>
  <conditionalFormatting sqref="A33:G33">
    <cfRule type="expression" dxfId="98" priority="489">
      <formula>ISEVEN(ROW())</formula>
    </cfRule>
  </conditionalFormatting>
  <conditionalFormatting sqref="A34:G34">
    <cfRule type="expression" dxfId="97" priority="457">
      <formula>ISEVEN(ROW())</formula>
    </cfRule>
  </conditionalFormatting>
  <conditionalFormatting sqref="A35:G35">
    <cfRule type="expression" dxfId="96" priority="412">
      <formula>ISEVEN(ROW())</formula>
    </cfRule>
  </conditionalFormatting>
  <conditionalFormatting sqref="A36:G36">
    <cfRule type="expression" dxfId="95" priority="385">
      <formula>ISEVEN(ROW())</formula>
    </cfRule>
  </conditionalFormatting>
  <conditionalFormatting sqref="A37:G37">
    <cfRule type="expression" dxfId="94" priority="376">
      <formula>ISEVEN(ROW())</formula>
    </cfRule>
  </conditionalFormatting>
  <conditionalFormatting sqref="A38:G38">
    <cfRule type="expression" dxfId="93" priority="367">
      <formula>ISEVEN(ROW())</formula>
    </cfRule>
  </conditionalFormatting>
  <conditionalFormatting sqref="A39:G39">
    <cfRule type="expression" dxfId="92" priority="295">
      <formula>ISEVEN(ROW())</formula>
    </cfRule>
  </conditionalFormatting>
  <conditionalFormatting sqref="A40:G40">
    <cfRule type="expression" dxfId="91" priority="280">
      <formula>ISEVEN(ROW())</formula>
    </cfRule>
  </conditionalFormatting>
  <conditionalFormatting sqref="A41:G41">
    <cfRule type="expression" dxfId="90" priority="253">
      <formula>ISEVEN(ROW())</formula>
    </cfRule>
  </conditionalFormatting>
  <conditionalFormatting sqref="A58:G58">
    <cfRule type="expression" dxfId="89" priority="235">
      <formula>ISEVEN(ROW())</formula>
    </cfRule>
  </conditionalFormatting>
  <conditionalFormatting sqref="A59:G59">
    <cfRule type="expression" dxfId="88" priority="226">
      <formula>ISEVEN(ROW())</formula>
    </cfRule>
  </conditionalFormatting>
  <conditionalFormatting sqref="A60:G60">
    <cfRule type="expression" dxfId="87" priority="175">
      <formula>ISEVEN(ROW())</formula>
    </cfRule>
  </conditionalFormatting>
  <conditionalFormatting sqref="A61:G61">
    <cfRule type="expression" dxfId="86" priority="166">
      <formula>ISEVEN(ROW())</formula>
    </cfRule>
  </conditionalFormatting>
  <conditionalFormatting sqref="A64:G64">
    <cfRule type="expression" dxfId="85" priority="133">
      <formula>ISEVEN(ROW())</formula>
    </cfRule>
  </conditionalFormatting>
  <conditionalFormatting sqref="A66:G66">
    <cfRule type="expression" dxfId="84" priority="124">
      <formula>ISEVEN(ROW())</formula>
    </cfRule>
  </conditionalFormatting>
  <conditionalFormatting sqref="A67:G67">
    <cfRule type="expression" dxfId="83" priority="115">
      <formula>ISEVEN(ROW())</formula>
    </cfRule>
  </conditionalFormatting>
  <conditionalFormatting sqref="A68:G68">
    <cfRule type="expression" dxfId="82" priority="79">
      <formula>ISEVEN(ROW())</formula>
    </cfRule>
  </conditionalFormatting>
  <conditionalFormatting sqref="A73:G73">
    <cfRule type="expression" dxfId="81" priority="52">
      <formula>ISEVEN(ROW())</formula>
    </cfRule>
  </conditionalFormatting>
  <conditionalFormatting sqref="A383:G383">
    <cfRule type="expression" dxfId="80" priority="36">
      <formula>ISEVEN(ROW())</formula>
    </cfRule>
  </conditionalFormatting>
  <conditionalFormatting sqref="A405:G405">
    <cfRule type="expression" dxfId="79" priority="32">
      <formula>ISEVEN(ROW())</formula>
    </cfRule>
  </conditionalFormatting>
  <conditionalFormatting sqref="A440:G440">
    <cfRule type="expression" dxfId="78" priority="30">
      <formula>ISEVEN(ROW())</formula>
    </cfRule>
  </conditionalFormatting>
  <conditionalFormatting sqref="A75:I75">
    <cfRule type="expression" dxfId="77" priority="40">
      <formula>ISEVEN(ROW())</formula>
    </cfRule>
  </conditionalFormatting>
  <conditionalFormatting sqref="A79:I79">
    <cfRule type="expression" dxfId="76" priority="38">
      <formula>ISEVEN(ROW())</formula>
    </cfRule>
  </conditionalFormatting>
  <conditionalFormatting sqref="A384:U391 A435:U437">
    <cfRule type="expression" dxfId="75" priority="48">
      <formula>ISEVEN(ROW())</formula>
    </cfRule>
  </conditionalFormatting>
  <conditionalFormatting sqref="A453:U748">
    <cfRule type="expression" dxfId="74" priority="49">
      <formula>ISEVEN(ROW())</formula>
    </cfRule>
  </conditionalFormatting>
  <conditionalFormatting sqref="B1:B1048576">
    <cfRule type="duplicateValues" dxfId="73" priority="42"/>
  </conditionalFormatting>
  <conditionalFormatting sqref="B2:B4">
    <cfRule type="duplicateValues" dxfId="72" priority="2872"/>
  </conditionalFormatting>
  <conditionalFormatting sqref="B5:B10">
    <cfRule type="duplicateValues" dxfId="71" priority="2850"/>
  </conditionalFormatting>
  <conditionalFormatting sqref="B11">
    <cfRule type="duplicateValues" dxfId="70" priority="786"/>
  </conditionalFormatting>
  <conditionalFormatting sqref="B12">
    <cfRule type="duplicateValues" dxfId="69" priority="768"/>
  </conditionalFormatting>
  <conditionalFormatting sqref="B13">
    <cfRule type="duplicateValues" dxfId="68" priority="759"/>
  </conditionalFormatting>
  <conditionalFormatting sqref="B14">
    <cfRule type="duplicateValues" dxfId="67" priority="741"/>
  </conditionalFormatting>
  <conditionalFormatting sqref="B15">
    <cfRule type="duplicateValues" dxfId="66" priority="732"/>
  </conditionalFormatting>
  <conditionalFormatting sqref="B16">
    <cfRule type="duplicateValues" dxfId="65" priority="723"/>
  </conditionalFormatting>
  <conditionalFormatting sqref="B17">
    <cfRule type="duplicateValues" dxfId="64" priority="714"/>
  </conditionalFormatting>
  <conditionalFormatting sqref="B18">
    <cfRule type="duplicateValues" dxfId="63" priority="678"/>
  </conditionalFormatting>
  <conditionalFormatting sqref="B19">
    <cfRule type="duplicateValues" dxfId="62" priority="660"/>
  </conditionalFormatting>
  <conditionalFormatting sqref="B20">
    <cfRule type="duplicateValues" dxfId="61" priority="651"/>
  </conditionalFormatting>
  <conditionalFormatting sqref="B21">
    <cfRule type="duplicateValues" dxfId="60" priority="606"/>
  </conditionalFormatting>
  <conditionalFormatting sqref="B22">
    <cfRule type="duplicateValues" dxfId="59" priority="597"/>
  </conditionalFormatting>
  <conditionalFormatting sqref="B23">
    <cfRule type="duplicateValues" dxfId="58" priority="588"/>
  </conditionalFormatting>
  <conditionalFormatting sqref="B24">
    <cfRule type="duplicateValues" dxfId="57" priority="572"/>
  </conditionalFormatting>
  <conditionalFormatting sqref="B25">
    <cfRule type="duplicateValues" dxfId="56" priority="563"/>
  </conditionalFormatting>
  <conditionalFormatting sqref="B26">
    <cfRule type="duplicateValues" dxfId="55" priority="560"/>
  </conditionalFormatting>
  <conditionalFormatting sqref="B27">
    <cfRule type="duplicateValues" dxfId="54" priority="551"/>
  </conditionalFormatting>
  <conditionalFormatting sqref="B28">
    <cfRule type="duplicateValues" dxfId="53" priority="533"/>
  </conditionalFormatting>
  <conditionalFormatting sqref="B29">
    <cfRule type="duplicateValues" dxfId="52" priority="524"/>
  </conditionalFormatting>
  <conditionalFormatting sqref="B30">
    <cfRule type="duplicateValues" dxfId="51" priority="515"/>
  </conditionalFormatting>
  <conditionalFormatting sqref="B31">
    <cfRule type="duplicateValues" dxfId="50" priority="506"/>
  </conditionalFormatting>
  <conditionalFormatting sqref="B32">
    <cfRule type="duplicateValues" dxfId="49" priority="497"/>
  </conditionalFormatting>
  <conditionalFormatting sqref="B33">
    <cfRule type="duplicateValues" dxfId="48" priority="488"/>
  </conditionalFormatting>
  <conditionalFormatting sqref="B34">
    <cfRule type="duplicateValues" dxfId="47" priority="456"/>
  </conditionalFormatting>
  <conditionalFormatting sqref="B35">
    <cfRule type="duplicateValues" dxfId="46" priority="411"/>
  </conditionalFormatting>
  <conditionalFormatting sqref="B36">
    <cfRule type="duplicateValues" dxfId="45" priority="384"/>
  </conditionalFormatting>
  <conditionalFormatting sqref="B37">
    <cfRule type="duplicateValues" dxfId="44" priority="375"/>
  </conditionalFormatting>
  <conditionalFormatting sqref="B38">
    <cfRule type="duplicateValues" dxfId="43" priority="366"/>
  </conditionalFormatting>
  <conditionalFormatting sqref="B39">
    <cfRule type="duplicateValues" dxfId="42" priority="294"/>
  </conditionalFormatting>
  <conditionalFormatting sqref="B40">
    <cfRule type="duplicateValues" dxfId="41" priority="279"/>
  </conditionalFormatting>
  <conditionalFormatting sqref="B41">
    <cfRule type="duplicateValues" dxfId="40" priority="252"/>
  </conditionalFormatting>
  <conditionalFormatting sqref="B58">
    <cfRule type="duplicateValues" dxfId="39" priority="234"/>
  </conditionalFormatting>
  <conditionalFormatting sqref="B59">
    <cfRule type="duplicateValues" dxfId="38" priority="225"/>
  </conditionalFormatting>
  <conditionalFormatting sqref="B60">
    <cfRule type="duplicateValues" dxfId="37" priority="174"/>
  </conditionalFormatting>
  <conditionalFormatting sqref="B61">
    <cfRule type="duplicateValues" dxfId="36" priority="165"/>
  </conditionalFormatting>
  <conditionalFormatting sqref="B64">
    <cfRule type="duplicateValues" dxfId="35" priority="132"/>
  </conditionalFormatting>
  <conditionalFormatting sqref="B66">
    <cfRule type="duplicateValues" dxfId="34" priority="123"/>
  </conditionalFormatting>
  <conditionalFormatting sqref="B67">
    <cfRule type="duplicateValues" dxfId="33" priority="114"/>
  </conditionalFormatting>
  <conditionalFormatting sqref="B68">
    <cfRule type="duplicateValues" dxfId="32" priority="78"/>
  </conditionalFormatting>
  <conditionalFormatting sqref="B73">
    <cfRule type="duplicateValues" dxfId="31" priority="51"/>
  </conditionalFormatting>
  <conditionalFormatting sqref="B75">
    <cfRule type="duplicateValues" dxfId="30" priority="39"/>
  </conditionalFormatting>
  <conditionalFormatting sqref="B79">
    <cfRule type="duplicateValues" dxfId="29" priority="37"/>
  </conditionalFormatting>
  <conditionalFormatting sqref="B383">
    <cfRule type="duplicateValues" dxfId="28" priority="35"/>
  </conditionalFormatting>
  <conditionalFormatting sqref="B396">
    <cfRule type="duplicateValues" dxfId="27" priority="33"/>
  </conditionalFormatting>
  <conditionalFormatting sqref="B405">
    <cfRule type="duplicateValues" dxfId="26" priority="31"/>
  </conditionalFormatting>
  <conditionalFormatting sqref="B440">
    <cfRule type="duplicateValues" dxfId="25" priority="29"/>
  </conditionalFormatting>
  <conditionalFormatting sqref="B477:B478">
    <cfRule type="duplicateValues" dxfId="24" priority="7"/>
  </conditionalFormatting>
  <conditionalFormatting sqref="B479:B485 B489:B497 B501:B507 B511">
    <cfRule type="duplicateValues" dxfId="23" priority="8"/>
  </conditionalFormatting>
  <conditionalFormatting sqref="B486">
    <cfRule type="duplicateValues" dxfId="22" priority="5"/>
  </conditionalFormatting>
  <conditionalFormatting sqref="B487:B488">
    <cfRule type="duplicateValues" dxfId="21" priority="6"/>
  </conditionalFormatting>
  <conditionalFormatting sqref="B498">
    <cfRule type="duplicateValues" dxfId="20" priority="3"/>
  </conditionalFormatting>
  <conditionalFormatting sqref="B499:B500">
    <cfRule type="duplicateValues" dxfId="19" priority="4"/>
  </conditionalFormatting>
  <conditionalFormatting sqref="B508">
    <cfRule type="duplicateValues" dxfId="18" priority="1"/>
  </conditionalFormatting>
  <conditionalFormatting sqref="B509:B510">
    <cfRule type="duplicateValues" dxfId="17" priority="2"/>
  </conditionalFormatting>
  <conditionalFormatting sqref="B512:B516 B468:B476">
    <cfRule type="duplicateValues" dxfId="16" priority="15"/>
  </conditionalFormatting>
  <conditionalFormatting sqref="B517:B518 B397:B404 B384:B395 B406:B439 B441:B467">
    <cfRule type="duplicateValues" dxfId="15" priority="34"/>
  </conditionalFormatting>
  <conditionalFormatting sqref="B519:B525 B69:B72 B1 B42:B57 B62:B63 B65 B74 B76:B78 B80:B382 B529:B537 B541:B547 B551:B1048576">
    <cfRule type="duplicateValues" dxfId="14" priority="826"/>
  </conditionalFormatting>
  <conditionalFormatting sqref="B526">
    <cfRule type="duplicateValues" dxfId="13" priority="13"/>
  </conditionalFormatting>
  <conditionalFormatting sqref="B527:B528">
    <cfRule type="duplicateValues" dxfId="12" priority="14"/>
  </conditionalFormatting>
  <conditionalFormatting sqref="B538">
    <cfRule type="duplicateValues" dxfId="11" priority="11"/>
  </conditionalFormatting>
  <conditionalFormatting sqref="B539:B540">
    <cfRule type="duplicateValues" dxfId="10" priority="12"/>
  </conditionalFormatting>
  <conditionalFormatting sqref="B548">
    <cfRule type="duplicateValues" dxfId="9" priority="9"/>
  </conditionalFormatting>
  <conditionalFormatting sqref="B549:B550">
    <cfRule type="duplicateValues" dxfId="8" priority="10"/>
  </conditionalFormatting>
  <conditionalFormatting sqref="C2:C748">
    <cfRule type="containsBlanks" dxfId="7" priority="27">
      <formula>LEN(TRIM(C2))=0</formula>
    </cfRule>
  </conditionalFormatting>
  <conditionalFormatting sqref="G2:G1048576">
    <cfRule type="iconSet" priority="41">
      <iconSet iconSet="3Symbols" showValue="0">
        <cfvo type="percent" val="0"/>
        <cfvo type="num" val="1"/>
        <cfvo type="num" val="2"/>
      </iconSet>
    </cfRule>
  </conditionalFormatting>
  <conditionalFormatting sqref="H64:I64">
    <cfRule type="expression" dxfId="6" priority="130">
      <formula>ISEVEN(ROW())</formula>
    </cfRule>
  </conditionalFormatting>
  <conditionalFormatting sqref="H73:I73">
    <cfRule type="expression" dxfId="5" priority="50">
      <formula>ISEVEN(ROW())</formula>
    </cfRule>
  </conditionalFormatting>
  <conditionalFormatting sqref="L2:L748 Q2:Q748">
    <cfRule type="containsErrors" dxfId="4" priority="28">
      <formula>ISERROR(L2)</formula>
    </cfRule>
    <cfRule type="cellIs" dxfId="3" priority="47" operator="between">
      <formula>-0.0499</formula>
      <formula>0.0499</formula>
    </cfRule>
    <cfRule type="cellIs" dxfId="2" priority="44" operator="lessThan">
      <formula>-0.05</formula>
    </cfRule>
    <cfRule type="cellIs" dxfId="1" priority="45" operator="greaterThan">
      <formula>0.15</formula>
    </cfRule>
    <cfRule type="cellIs" dxfId="0" priority="46" operator="between">
      <formula>0.04999999999</formula>
      <formula>0.1499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A8A2C8F-2A73-463D-9DB3-8D7F88C5816C}">
          <x14:formula1>
            <xm:f>RESUMO!$A$2:$A$30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</vt:lpstr>
      <vt:lpstr>INIST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jeradi</dc:creator>
  <cp:keywords/>
  <dc:description/>
  <cp:lastModifiedBy>victor jeradi</cp:lastModifiedBy>
  <cp:revision/>
  <dcterms:created xsi:type="dcterms:W3CDTF">2025-05-22T15:32:19Z</dcterms:created>
  <dcterms:modified xsi:type="dcterms:W3CDTF">2025-08-20T20:37:20Z</dcterms:modified>
  <cp:category/>
  <cp:contentStatus/>
</cp:coreProperties>
</file>